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4450\AppData\Roaming\Micro Focus\Offline Records\Offline Records (OP)\FOI stats Quarter 3, 2025-26\"/>
    </mc:Choice>
  </mc:AlternateContent>
  <xr:revisionPtr revIDLastSave="0" documentId="13_ncr:1_{13473B2B-44B5-4062-B982-FACB54D6ACB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Index" sheetId="21" r:id="rId1"/>
    <sheet name="Request numbers" sheetId="1" r:id="rId2"/>
    <sheet name="Action on requests" sheetId="2" r:id="rId3"/>
    <sheet name="Response times" sheetId="3" r:id="rId4"/>
    <sheet name="Requests top 20" sheetId="17" r:id="rId5"/>
    <sheet name="Determined top 20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8" l="1"/>
  <c r="C23" i="18" l="1"/>
  <c r="G25" i="18" l="1"/>
  <c r="E25" i="18"/>
  <c r="C25" i="18"/>
  <c r="G24" i="18"/>
  <c r="E24" i="18"/>
  <c r="G23" i="18"/>
  <c r="E23" i="18"/>
  <c r="G21" i="18"/>
  <c r="E21" i="18"/>
  <c r="C21" i="18"/>
  <c r="G20" i="18"/>
  <c r="E20" i="18"/>
  <c r="C20" i="18"/>
  <c r="G19" i="18"/>
  <c r="E19" i="18"/>
  <c r="C19" i="18"/>
  <c r="G18" i="18"/>
  <c r="E18" i="18"/>
  <c r="C18" i="18"/>
  <c r="G17" i="18"/>
  <c r="E17" i="18"/>
  <c r="C17" i="18"/>
  <c r="G16" i="18"/>
  <c r="E16" i="18"/>
  <c r="C16" i="18"/>
  <c r="G15" i="18"/>
  <c r="E15" i="18"/>
  <c r="C15" i="18"/>
  <c r="G14" i="18"/>
  <c r="E14" i="18"/>
  <c r="C14" i="18"/>
  <c r="G13" i="18"/>
  <c r="E13" i="18"/>
  <c r="C13" i="18"/>
  <c r="G12" i="18"/>
  <c r="E12" i="18"/>
  <c r="C12" i="18"/>
  <c r="G11" i="18"/>
  <c r="E11" i="18"/>
  <c r="C11" i="18"/>
  <c r="G10" i="18"/>
  <c r="E10" i="18"/>
  <c r="C10" i="18"/>
  <c r="G9" i="18"/>
  <c r="E9" i="18"/>
  <c r="C9" i="18"/>
  <c r="G8" i="18"/>
  <c r="E8" i="18"/>
  <c r="C8" i="18"/>
  <c r="G7" i="18"/>
  <c r="E7" i="18"/>
  <c r="C7" i="18"/>
  <c r="G6" i="18"/>
  <c r="E6" i="18"/>
  <c r="C6" i="18"/>
  <c r="G5" i="18"/>
  <c r="E5" i="18"/>
  <c r="C5" i="18"/>
  <c r="G4" i="18"/>
  <c r="E4" i="18"/>
  <c r="C4" i="18"/>
  <c r="G3" i="18"/>
  <c r="E3" i="18"/>
  <c r="C3" i="18"/>
  <c r="G2" i="18"/>
  <c r="E2" i="18"/>
  <c r="C2" i="18"/>
  <c r="E22" i="17"/>
  <c r="D22" i="17"/>
  <c r="D21" i="17"/>
  <c r="E21" i="17" s="1"/>
  <c r="D20" i="17"/>
  <c r="E20" i="17" s="1"/>
  <c r="E19" i="17"/>
  <c r="D19" i="17"/>
  <c r="E18" i="17"/>
  <c r="D18" i="17"/>
  <c r="D17" i="17"/>
  <c r="E17" i="17" s="1"/>
  <c r="E16" i="17"/>
  <c r="D16" i="17"/>
  <c r="D15" i="17"/>
  <c r="E15" i="17" s="1"/>
  <c r="D14" i="17"/>
  <c r="E14" i="17" s="1"/>
  <c r="E13" i="17"/>
  <c r="D13" i="17"/>
  <c r="E12" i="17"/>
  <c r="D12" i="17"/>
  <c r="D11" i="17"/>
  <c r="E11" i="17" s="1"/>
  <c r="E10" i="17"/>
  <c r="D10" i="17"/>
  <c r="D9" i="17"/>
  <c r="E9" i="17" s="1"/>
  <c r="D8" i="17"/>
  <c r="E8" i="17" s="1"/>
  <c r="E7" i="17"/>
  <c r="D7" i="17"/>
  <c r="E6" i="17"/>
  <c r="D6" i="17"/>
  <c r="D5" i="17"/>
  <c r="E5" i="17" s="1"/>
  <c r="E4" i="17"/>
  <c r="D4" i="17"/>
  <c r="D3" i="17"/>
  <c r="E3" i="17" s="1"/>
  <c r="R336" i="3"/>
  <c r="Q336" i="3"/>
  <c r="O336" i="3"/>
  <c r="N336" i="3"/>
  <c r="M336" i="3"/>
  <c r="L336" i="3"/>
  <c r="K336" i="3"/>
  <c r="I336" i="3"/>
  <c r="H336" i="3"/>
  <c r="F336" i="3"/>
  <c r="E336" i="3"/>
  <c r="C336" i="3"/>
  <c r="B336" i="3"/>
  <c r="S334" i="3"/>
  <c r="P334" i="3"/>
  <c r="M334" i="3"/>
  <c r="J334" i="3"/>
  <c r="G334" i="3"/>
  <c r="D334" i="3"/>
  <c r="S331" i="3"/>
  <c r="P331" i="3"/>
  <c r="M331" i="3"/>
  <c r="J331" i="3"/>
  <c r="G331" i="3"/>
  <c r="D331" i="3"/>
  <c r="S330" i="3"/>
  <c r="P330" i="3"/>
  <c r="M330" i="3"/>
  <c r="J330" i="3"/>
  <c r="G330" i="3"/>
  <c r="D330" i="3"/>
  <c r="S327" i="3"/>
  <c r="P327" i="3"/>
  <c r="M327" i="3"/>
  <c r="J327" i="3"/>
  <c r="G327" i="3"/>
  <c r="D327" i="3"/>
  <c r="S326" i="3"/>
  <c r="P326" i="3"/>
  <c r="M326" i="3"/>
  <c r="J326" i="3"/>
  <c r="G326" i="3"/>
  <c r="D326" i="3"/>
  <c r="S325" i="3"/>
  <c r="P325" i="3"/>
  <c r="M325" i="3"/>
  <c r="J325" i="3"/>
  <c r="G325" i="3"/>
  <c r="D325" i="3"/>
  <c r="S324" i="3"/>
  <c r="P324" i="3"/>
  <c r="M324" i="3"/>
  <c r="J324" i="3"/>
  <c r="G324" i="3"/>
  <c r="D324" i="3"/>
  <c r="S323" i="3"/>
  <c r="P323" i="3"/>
  <c r="M323" i="3"/>
  <c r="J323" i="3"/>
  <c r="G323" i="3"/>
  <c r="D323" i="3"/>
  <c r="S322" i="3"/>
  <c r="P322" i="3"/>
  <c r="M322" i="3"/>
  <c r="J322" i="3"/>
  <c r="G322" i="3"/>
  <c r="D322" i="3"/>
  <c r="S321" i="3"/>
  <c r="P321" i="3"/>
  <c r="M321" i="3"/>
  <c r="J321" i="3"/>
  <c r="G321" i="3"/>
  <c r="D321" i="3"/>
  <c r="S320" i="3"/>
  <c r="P320" i="3"/>
  <c r="M320" i="3"/>
  <c r="J320" i="3"/>
  <c r="G320" i="3"/>
  <c r="D320" i="3"/>
  <c r="S319" i="3"/>
  <c r="P319" i="3"/>
  <c r="M319" i="3"/>
  <c r="J319" i="3"/>
  <c r="G319" i="3"/>
  <c r="D319" i="3"/>
  <c r="S318" i="3"/>
  <c r="P318" i="3"/>
  <c r="M318" i="3"/>
  <c r="J318" i="3"/>
  <c r="G318" i="3"/>
  <c r="D318" i="3"/>
  <c r="S317" i="3"/>
  <c r="P317" i="3"/>
  <c r="M317" i="3"/>
  <c r="J317" i="3"/>
  <c r="G317" i="3"/>
  <c r="D317" i="3"/>
  <c r="S316" i="3"/>
  <c r="P316" i="3"/>
  <c r="M316" i="3"/>
  <c r="J316" i="3"/>
  <c r="G316" i="3"/>
  <c r="D316" i="3"/>
  <c r="S315" i="3"/>
  <c r="P315" i="3"/>
  <c r="M315" i="3"/>
  <c r="J315" i="3"/>
  <c r="G315" i="3"/>
  <c r="D315" i="3"/>
  <c r="S314" i="3"/>
  <c r="P314" i="3"/>
  <c r="M314" i="3"/>
  <c r="J314" i="3"/>
  <c r="G314" i="3"/>
  <c r="D314" i="3"/>
  <c r="S313" i="3"/>
  <c r="P313" i="3"/>
  <c r="M313" i="3"/>
  <c r="J313" i="3"/>
  <c r="G313" i="3"/>
  <c r="D313" i="3"/>
  <c r="S312" i="3"/>
  <c r="P312" i="3"/>
  <c r="M312" i="3"/>
  <c r="J312" i="3"/>
  <c r="G312" i="3"/>
  <c r="D312" i="3"/>
  <c r="S311" i="3"/>
  <c r="P311" i="3"/>
  <c r="M311" i="3"/>
  <c r="J311" i="3"/>
  <c r="G311" i="3"/>
  <c r="D311" i="3"/>
  <c r="S310" i="3"/>
  <c r="P310" i="3"/>
  <c r="M310" i="3"/>
  <c r="J310" i="3"/>
  <c r="G310" i="3"/>
  <c r="D310" i="3"/>
  <c r="S309" i="3"/>
  <c r="P309" i="3"/>
  <c r="M309" i="3"/>
  <c r="J309" i="3"/>
  <c r="G309" i="3"/>
  <c r="D309" i="3"/>
  <c r="S308" i="3"/>
  <c r="P308" i="3"/>
  <c r="M308" i="3"/>
  <c r="J308" i="3"/>
  <c r="G308" i="3"/>
  <c r="D308" i="3"/>
  <c r="S307" i="3"/>
  <c r="P307" i="3"/>
  <c r="M307" i="3"/>
  <c r="J307" i="3"/>
  <c r="G307" i="3"/>
  <c r="D307" i="3"/>
  <c r="S306" i="3"/>
  <c r="P306" i="3"/>
  <c r="M306" i="3"/>
  <c r="J306" i="3"/>
  <c r="G306" i="3"/>
  <c r="D306" i="3"/>
  <c r="S305" i="3"/>
  <c r="P305" i="3"/>
  <c r="M305" i="3"/>
  <c r="J305" i="3"/>
  <c r="G305" i="3"/>
  <c r="D305" i="3"/>
  <c r="S304" i="3"/>
  <c r="P304" i="3"/>
  <c r="M304" i="3"/>
  <c r="J304" i="3"/>
  <c r="G304" i="3"/>
  <c r="D304" i="3"/>
  <c r="S303" i="3"/>
  <c r="P303" i="3"/>
  <c r="M303" i="3"/>
  <c r="J303" i="3"/>
  <c r="G303" i="3"/>
  <c r="D303" i="3"/>
  <c r="S302" i="3"/>
  <c r="P302" i="3"/>
  <c r="M302" i="3"/>
  <c r="J302" i="3"/>
  <c r="G302" i="3"/>
  <c r="D302" i="3"/>
  <c r="S301" i="3"/>
  <c r="P301" i="3"/>
  <c r="M301" i="3"/>
  <c r="J301" i="3"/>
  <c r="G301" i="3"/>
  <c r="D301" i="3"/>
  <c r="S300" i="3"/>
  <c r="P300" i="3"/>
  <c r="M300" i="3"/>
  <c r="J300" i="3"/>
  <c r="G300" i="3"/>
  <c r="D300" i="3"/>
  <c r="S299" i="3"/>
  <c r="P299" i="3"/>
  <c r="M299" i="3"/>
  <c r="J299" i="3"/>
  <c r="G299" i="3"/>
  <c r="D299" i="3"/>
  <c r="S298" i="3"/>
  <c r="P298" i="3"/>
  <c r="M298" i="3"/>
  <c r="J298" i="3"/>
  <c r="G298" i="3"/>
  <c r="D298" i="3"/>
  <c r="S297" i="3"/>
  <c r="P297" i="3"/>
  <c r="M297" i="3"/>
  <c r="J297" i="3"/>
  <c r="G297" i="3"/>
  <c r="D297" i="3"/>
  <c r="S296" i="3"/>
  <c r="P296" i="3"/>
  <c r="M296" i="3"/>
  <c r="J296" i="3"/>
  <c r="G296" i="3"/>
  <c r="D296" i="3"/>
  <c r="S293" i="3"/>
  <c r="P293" i="3"/>
  <c r="M293" i="3"/>
  <c r="J293" i="3"/>
  <c r="G293" i="3"/>
  <c r="D293" i="3"/>
  <c r="S292" i="3"/>
  <c r="P292" i="3"/>
  <c r="M292" i="3"/>
  <c r="J292" i="3"/>
  <c r="G292" i="3"/>
  <c r="D292" i="3"/>
  <c r="S291" i="3"/>
  <c r="P291" i="3"/>
  <c r="M291" i="3"/>
  <c r="J291" i="3"/>
  <c r="G291" i="3"/>
  <c r="D291" i="3"/>
  <c r="S290" i="3"/>
  <c r="P290" i="3"/>
  <c r="M290" i="3"/>
  <c r="J290" i="3"/>
  <c r="G290" i="3"/>
  <c r="D290" i="3"/>
  <c r="S289" i="3"/>
  <c r="P289" i="3"/>
  <c r="M289" i="3"/>
  <c r="J289" i="3"/>
  <c r="G289" i="3"/>
  <c r="D289" i="3"/>
  <c r="S288" i="3"/>
  <c r="P288" i="3"/>
  <c r="M288" i="3"/>
  <c r="J288" i="3"/>
  <c r="G288" i="3"/>
  <c r="D288" i="3"/>
  <c r="S287" i="3"/>
  <c r="P287" i="3"/>
  <c r="M287" i="3"/>
  <c r="J287" i="3"/>
  <c r="G287" i="3"/>
  <c r="D287" i="3"/>
  <c r="S286" i="3"/>
  <c r="P286" i="3"/>
  <c r="M286" i="3"/>
  <c r="J286" i="3"/>
  <c r="G286" i="3"/>
  <c r="D286" i="3"/>
  <c r="S285" i="3"/>
  <c r="P285" i="3"/>
  <c r="M285" i="3"/>
  <c r="J285" i="3"/>
  <c r="G285" i="3"/>
  <c r="D285" i="3"/>
  <c r="S284" i="3"/>
  <c r="P284" i="3"/>
  <c r="M284" i="3"/>
  <c r="J284" i="3"/>
  <c r="G284" i="3"/>
  <c r="D284" i="3"/>
  <c r="S283" i="3"/>
  <c r="P283" i="3"/>
  <c r="M283" i="3"/>
  <c r="J283" i="3"/>
  <c r="G283" i="3"/>
  <c r="D283" i="3"/>
  <c r="S282" i="3"/>
  <c r="P282" i="3"/>
  <c r="M282" i="3"/>
  <c r="J282" i="3"/>
  <c r="G282" i="3"/>
  <c r="D282" i="3"/>
  <c r="S279" i="3"/>
  <c r="P279" i="3"/>
  <c r="M279" i="3"/>
  <c r="J279" i="3"/>
  <c r="G279" i="3"/>
  <c r="D279" i="3"/>
  <c r="S278" i="3"/>
  <c r="P278" i="3"/>
  <c r="M278" i="3"/>
  <c r="J278" i="3"/>
  <c r="G278" i="3"/>
  <c r="D278" i="3"/>
  <c r="S277" i="3"/>
  <c r="P277" i="3"/>
  <c r="M277" i="3"/>
  <c r="J277" i="3"/>
  <c r="G277" i="3"/>
  <c r="D277" i="3"/>
  <c r="S276" i="3"/>
  <c r="P276" i="3"/>
  <c r="M276" i="3"/>
  <c r="J276" i="3"/>
  <c r="G276" i="3"/>
  <c r="D276" i="3"/>
  <c r="S275" i="3"/>
  <c r="P275" i="3"/>
  <c r="M275" i="3"/>
  <c r="J275" i="3"/>
  <c r="G275" i="3"/>
  <c r="D275" i="3"/>
  <c r="S274" i="3"/>
  <c r="P274" i="3"/>
  <c r="M274" i="3"/>
  <c r="J274" i="3"/>
  <c r="G274" i="3"/>
  <c r="D274" i="3"/>
  <c r="S273" i="3"/>
  <c r="P273" i="3"/>
  <c r="M273" i="3"/>
  <c r="J273" i="3"/>
  <c r="G273" i="3"/>
  <c r="D273" i="3"/>
  <c r="S272" i="3"/>
  <c r="P272" i="3"/>
  <c r="M272" i="3"/>
  <c r="J272" i="3"/>
  <c r="G272" i="3"/>
  <c r="D272" i="3"/>
  <c r="S271" i="3"/>
  <c r="P271" i="3"/>
  <c r="M271" i="3"/>
  <c r="J271" i="3"/>
  <c r="G271" i="3"/>
  <c r="D271" i="3"/>
  <c r="S270" i="3"/>
  <c r="P270" i="3"/>
  <c r="M270" i="3"/>
  <c r="J270" i="3"/>
  <c r="G270" i="3"/>
  <c r="D270" i="3"/>
  <c r="S269" i="3"/>
  <c r="P269" i="3"/>
  <c r="M269" i="3"/>
  <c r="J269" i="3"/>
  <c r="G269" i="3"/>
  <c r="D269" i="3"/>
  <c r="S268" i="3"/>
  <c r="P268" i="3"/>
  <c r="M268" i="3"/>
  <c r="J268" i="3"/>
  <c r="G268" i="3"/>
  <c r="D268" i="3"/>
  <c r="S267" i="3"/>
  <c r="P267" i="3"/>
  <c r="M267" i="3"/>
  <c r="J267" i="3"/>
  <c r="G267" i="3"/>
  <c r="D267" i="3"/>
  <c r="S266" i="3"/>
  <c r="P266" i="3"/>
  <c r="M266" i="3"/>
  <c r="J266" i="3"/>
  <c r="G266" i="3"/>
  <c r="D266" i="3"/>
  <c r="S265" i="3"/>
  <c r="P265" i="3"/>
  <c r="M265" i="3"/>
  <c r="J265" i="3"/>
  <c r="G265" i="3"/>
  <c r="D265" i="3"/>
  <c r="S264" i="3"/>
  <c r="P264" i="3"/>
  <c r="M264" i="3"/>
  <c r="J264" i="3"/>
  <c r="G264" i="3"/>
  <c r="D264" i="3"/>
  <c r="S263" i="3"/>
  <c r="P263" i="3"/>
  <c r="M263" i="3"/>
  <c r="J263" i="3"/>
  <c r="G263" i="3"/>
  <c r="D263" i="3"/>
  <c r="S262" i="3"/>
  <c r="P262" i="3"/>
  <c r="M262" i="3"/>
  <c r="J262" i="3"/>
  <c r="G262" i="3"/>
  <c r="D262" i="3"/>
  <c r="S261" i="3"/>
  <c r="P261" i="3"/>
  <c r="M261" i="3"/>
  <c r="J261" i="3"/>
  <c r="G261" i="3"/>
  <c r="D261" i="3"/>
  <c r="S260" i="3"/>
  <c r="P260" i="3"/>
  <c r="M260" i="3"/>
  <c r="J260" i="3"/>
  <c r="G260" i="3"/>
  <c r="D260" i="3"/>
  <c r="S259" i="3"/>
  <c r="P259" i="3"/>
  <c r="M259" i="3"/>
  <c r="J259" i="3"/>
  <c r="G259" i="3"/>
  <c r="D259" i="3"/>
  <c r="S258" i="3"/>
  <c r="P258" i="3"/>
  <c r="M258" i="3"/>
  <c r="J258" i="3"/>
  <c r="G258" i="3"/>
  <c r="D258" i="3"/>
  <c r="S257" i="3"/>
  <c r="P257" i="3"/>
  <c r="M257" i="3"/>
  <c r="J257" i="3"/>
  <c r="G257" i="3"/>
  <c r="D257" i="3"/>
  <c r="S256" i="3"/>
  <c r="P256" i="3"/>
  <c r="M256" i="3"/>
  <c r="J256" i="3"/>
  <c r="G256" i="3"/>
  <c r="D256" i="3"/>
  <c r="S255" i="3"/>
  <c r="P255" i="3"/>
  <c r="M255" i="3"/>
  <c r="J255" i="3"/>
  <c r="G255" i="3"/>
  <c r="D255" i="3"/>
  <c r="S254" i="3"/>
  <c r="P254" i="3"/>
  <c r="M254" i="3"/>
  <c r="J254" i="3"/>
  <c r="G254" i="3"/>
  <c r="D254" i="3"/>
  <c r="S251" i="3"/>
  <c r="P251" i="3"/>
  <c r="M251" i="3"/>
  <c r="J251" i="3"/>
  <c r="G251" i="3"/>
  <c r="D251" i="3"/>
  <c r="S250" i="3"/>
  <c r="P250" i="3"/>
  <c r="M250" i="3"/>
  <c r="J250" i="3"/>
  <c r="G250" i="3"/>
  <c r="D250" i="3"/>
  <c r="S249" i="3"/>
  <c r="P249" i="3"/>
  <c r="M249" i="3"/>
  <c r="J249" i="3"/>
  <c r="G249" i="3"/>
  <c r="D249" i="3"/>
  <c r="S248" i="3"/>
  <c r="P248" i="3"/>
  <c r="M248" i="3"/>
  <c r="J248" i="3"/>
  <c r="G248" i="3"/>
  <c r="D248" i="3"/>
  <c r="S247" i="3"/>
  <c r="P247" i="3"/>
  <c r="M247" i="3"/>
  <c r="J247" i="3"/>
  <c r="G247" i="3"/>
  <c r="D247" i="3"/>
  <c r="S246" i="3"/>
  <c r="P246" i="3"/>
  <c r="M246" i="3"/>
  <c r="J246" i="3"/>
  <c r="G246" i="3"/>
  <c r="D246" i="3"/>
  <c r="S245" i="3"/>
  <c r="P245" i="3"/>
  <c r="M245" i="3"/>
  <c r="J245" i="3"/>
  <c r="G245" i="3"/>
  <c r="D245" i="3"/>
  <c r="S244" i="3"/>
  <c r="P244" i="3"/>
  <c r="M244" i="3"/>
  <c r="J244" i="3"/>
  <c r="G244" i="3"/>
  <c r="D244" i="3"/>
  <c r="S243" i="3"/>
  <c r="P243" i="3"/>
  <c r="M243" i="3"/>
  <c r="J243" i="3"/>
  <c r="G243" i="3"/>
  <c r="D243" i="3"/>
  <c r="S242" i="3"/>
  <c r="P242" i="3"/>
  <c r="M242" i="3"/>
  <c r="J242" i="3"/>
  <c r="G242" i="3"/>
  <c r="D242" i="3"/>
  <c r="S241" i="3"/>
  <c r="P241" i="3"/>
  <c r="M241" i="3"/>
  <c r="J241" i="3"/>
  <c r="G241" i="3"/>
  <c r="D241" i="3"/>
  <c r="S240" i="3"/>
  <c r="P240" i="3"/>
  <c r="M240" i="3"/>
  <c r="J240" i="3"/>
  <c r="G240" i="3"/>
  <c r="D240" i="3"/>
  <c r="S239" i="3"/>
  <c r="P239" i="3"/>
  <c r="M239" i="3"/>
  <c r="J239" i="3"/>
  <c r="G239" i="3"/>
  <c r="D239" i="3"/>
  <c r="S238" i="3"/>
  <c r="P238" i="3"/>
  <c r="M238" i="3"/>
  <c r="J238" i="3"/>
  <c r="G238" i="3"/>
  <c r="D238" i="3"/>
  <c r="S237" i="3"/>
  <c r="P237" i="3"/>
  <c r="M237" i="3"/>
  <c r="J237" i="3"/>
  <c r="G237" i="3"/>
  <c r="D237" i="3"/>
  <c r="S236" i="3"/>
  <c r="P236" i="3"/>
  <c r="M236" i="3"/>
  <c r="J236" i="3"/>
  <c r="G236" i="3"/>
  <c r="D236" i="3"/>
  <c r="S235" i="3"/>
  <c r="P235" i="3"/>
  <c r="M235" i="3"/>
  <c r="J235" i="3"/>
  <c r="G235" i="3"/>
  <c r="D235" i="3"/>
  <c r="S234" i="3"/>
  <c r="P234" i="3"/>
  <c r="M234" i="3"/>
  <c r="J234" i="3"/>
  <c r="G234" i="3"/>
  <c r="D234" i="3"/>
  <c r="S233" i="3"/>
  <c r="P233" i="3"/>
  <c r="M233" i="3"/>
  <c r="J233" i="3"/>
  <c r="G233" i="3"/>
  <c r="D233" i="3"/>
  <c r="S232" i="3"/>
  <c r="P232" i="3"/>
  <c r="M232" i="3"/>
  <c r="J232" i="3"/>
  <c r="G232" i="3"/>
  <c r="D232" i="3"/>
  <c r="S231" i="3"/>
  <c r="P231" i="3"/>
  <c r="M231" i="3"/>
  <c r="J231" i="3"/>
  <c r="G231" i="3"/>
  <c r="D231" i="3"/>
  <c r="S230" i="3"/>
  <c r="P230" i="3"/>
  <c r="M230" i="3"/>
  <c r="J230" i="3"/>
  <c r="G230" i="3"/>
  <c r="D230" i="3"/>
  <c r="S229" i="3"/>
  <c r="P229" i="3"/>
  <c r="M229" i="3"/>
  <c r="J229" i="3"/>
  <c r="G229" i="3"/>
  <c r="D229" i="3"/>
  <c r="S228" i="3"/>
  <c r="P228" i="3"/>
  <c r="M228" i="3"/>
  <c r="J228" i="3"/>
  <c r="G228" i="3"/>
  <c r="D228" i="3"/>
  <c r="S227" i="3"/>
  <c r="P227" i="3"/>
  <c r="M227" i="3"/>
  <c r="J227" i="3"/>
  <c r="G227" i="3"/>
  <c r="D227" i="3"/>
  <c r="S226" i="3"/>
  <c r="P226" i="3"/>
  <c r="M226" i="3"/>
  <c r="J226" i="3"/>
  <c r="G226" i="3"/>
  <c r="D226" i="3"/>
  <c r="S225" i="3"/>
  <c r="P225" i="3"/>
  <c r="M225" i="3"/>
  <c r="J225" i="3"/>
  <c r="G225" i="3"/>
  <c r="D225" i="3"/>
  <c r="S224" i="3"/>
  <c r="P224" i="3"/>
  <c r="M224" i="3"/>
  <c r="J224" i="3"/>
  <c r="G224" i="3"/>
  <c r="D224" i="3"/>
  <c r="S223" i="3"/>
  <c r="P223" i="3"/>
  <c r="M223" i="3"/>
  <c r="J223" i="3"/>
  <c r="G223" i="3"/>
  <c r="D223" i="3"/>
  <c r="S222" i="3"/>
  <c r="P222" i="3"/>
  <c r="M222" i="3"/>
  <c r="J222" i="3"/>
  <c r="G222" i="3"/>
  <c r="D222" i="3"/>
  <c r="S221" i="3"/>
  <c r="P221" i="3"/>
  <c r="M221" i="3"/>
  <c r="J221" i="3"/>
  <c r="G221" i="3"/>
  <c r="D221" i="3"/>
  <c r="S220" i="3"/>
  <c r="P220" i="3"/>
  <c r="M220" i="3"/>
  <c r="J220" i="3"/>
  <c r="G220" i="3"/>
  <c r="D220" i="3"/>
  <c r="S219" i="3"/>
  <c r="P219" i="3"/>
  <c r="M219" i="3"/>
  <c r="J219" i="3"/>
  <c r="G219" i="3"/>
  <c r="D219" i="3"/>
  <c r="S218" i="3"/>
  <c r="P218" i="3"/>
  <c r="M218" i="3"/>
  <c r="J218" i="3"/>
  <c r="G218" i="3"/>
  <c r="D218" i="3"/>
  <c r="S217" i="3"/>
  <c r="P217" i="3"/>
  <c r="M217" i="3"/>
  <c r="J217" i="3"/>
  <c r="G217" i="3"/>
  <c r="D217" i="3"/>
  <c r="S216" i="3"/>
  <c r="P216" i="3"/>
  <c r="M216" i="3"/>
  <c r="J216" i="3"/>
  <c r="G216" i="3"/>
  <c r="D216" i="3"/>
  <c r="S215" i="3"/>
  <c r="P215" i="3"/>
  <c r="M215" i="3"/>
  <c r="J215" i="3"/>
  <c r="G215" i="3"/>
  <c r="D215" i="3"/>
  <c r="S214" i="3"/>
  <c r="P214" i="3"/>
  <c r="M214" i="3"/>
  <c r="J214" i="3"/>
  <c r="G214" i="3"/>
  <c r="D214" i="3"/>
  <c r="S213" i="3"/>
  <c r="P213" i="3"/>
  <c r="M213" i="3"/>
  <c r="J213" i="3"/>
  <c r="G213" i="3"/>
  <c r="D213" i="3"/>
  <c r="S212" i="3"/>
  <c r="P212" i="3"/>
  <c r="M212" i="3"/>
  <c r="J212" i="3"/>
  <c r="G212" i="3"/>
  <c r="D212" i="3"/>
  <c r="S211" i="3"/>
  <c r="P211" i="3"/>
  <c r="M211" i="3"/>
  <c r="J211" i="3"/>
  <c r="G211" i="3"/>
  <c r="D211" i="3"/>
  <c r="S210" i="3"/>
  <c r="P210" i="3"/>
  <c r="M210" i="3"/>
  <c r="J210" i="3"/>
  <c r="G210" i="3"/>
  <c r="D210" i="3"/>
  <c r="S207" i="3"/>
  <c r="P207" i="3"/>
  <c r="M207" i="3"/>
  <c r="J207" i="3"/>
  <c r="G207" i="3"/>
  <c r="D207" i="3"/>
  <c r="S206" i="3"/>
  <c r="P206" i="3"/>
  <c r="M206" i="3"/>
  <c r="J206" i="3"/>
  <c r="G206" i="3"/>
  <c r="D206" i="3"/>
  <c r="S205" i="3"/>
  <c r="P205" i="3"/>
  <c r="M205" i="3"/>
  <c r="J205" i="3"/>
  <c r="G205" i="3"/>
  <c r="D205" i="3"/>
  <c r="S204" i="3"/>
  <c r="P204" i="3"/>
  <c r="M204" i="3"/>
  <c r="J204" i="3"/>
  <c r="G204" i="3"/>
  <c r="D204" i="3"/>
  <c r="S203" i="3"/>
  <c r="P203" i="3"/>
  <c r="M203" i="3"/>
  <c r="J203" i="3"/>
  <c r="G203" i="3"/>
  <c r="D203" i="3"/>
  <c r="S202" i="3"/>
  <c r="P202" i="3"/>
  <c r="M202" i="3"/>
  <c r="J202" i="3"/>
  <c r="G202" i="3"/>
  <c r="D202" i="3"/>
  <c r="S201" i="3"/>
  <c r="P201" i="3"/>
  <c r="M201" i="3"/>
  <c r="J201" i="3"/>
  <c r="G201" i="3"/>
  <c r="D201" i="3"/>
  <c r="S200" i="3"/>
  <c r="P200" i="3"/>
  <c r="M200" i="3"/>
  <c r="J200" i="3"/>
  <c r="G200" i="3"/>
  <c r="D200" i="3"/>
  <c r="S199" i="3"/>
  <c r="P199" i="3"/>
  <c r="M199" i="3"/>
  <c r="J199" i="3"/>
  <c r="G199" i="3"/>
  <c r="D199" i="3"/>
  <c r="S198" i="3"/>
  <c r="P198" i="3"/>
  <c r="M198" i="3"/>
  <c r="J198" i="3"/>
  <c r="G198" i="3"/>
  <c r="D198" i="3"/>
  <c r="S197" i="3"/>
  <c r="P197" i="3"/>
  <c r="M197" i="3"/>
  <c r="J197" i="3"/>
  <c r="G197" i="3"/>
  <c r="D197" i="3"/>
  <c r="S196" i="3"/>
  <c r="P196" i="3"/>
  <c r="M196" i="3"/>
  <c r="J196" i="3"/>
  <c r="G196" i="3"/>
  <c r="D196" i="3"/>
  <c r="S195" i="3"/>
  <c r="P195" i="3"/>
  <c r="M195" i="3"/>
  <c r="J195" i="3"/>
  <c r="G195" i="3"/>
  <c r="D195" i="3"/>
  <c r="S194" i="3"/>
  <c r="P194" i="3"/>
  <c r="M194" i="3"/>
  <c r="J194" i="3"/>
  <c r="G194" i="3"/>
  <c r="D194" i="3"/>
  <c r="S191" i="3"/>
  <c r="P191" i="3"/>
  <c r="M191" i="3"/>
  <c r="J191" i="3"/>
  <c r="G191" i="3"/>
  <c r="D191" i="3"/>
  <c r="S190" i="3"/>
  <c r="P190" i="3"/>
  <c r="M190" i="3"/>
  <c r="J190" i="3"/>
  <c r="G190" i="3"/>
  <c r="D190" i="3"/>
  <c r="S189" i="3"/>
  <c r="P189" i="3"/>
  <c r="M189" i="3"/>
  <c r="J189" i="3"/>
  <c r="G189" i="3"/>
  <c r="D189" i="3"/>
  <c r="S188" i="3"/>
  <c r="P188" i="3"/>
  <c r="M188" i="3"/>
  <c r="J188" i="3"/>
  <c r="G188" i="3"/>
  <c r="D188" i="3"/>
  <c r="S187" i="3"/>
  <c r="P187" i="3"/>
  <c r="M187" i="3"/>
  <c r="J187" i="3"/>
  <c r="G187" i="3"/>
  <c r="D187" i="3"/>
  <c r="S186" i="3"/>
  <c r="P186" i="3"/>
  <c r="M186" i="3"/>
  <c r="J186" i="3"/>
  <c r="G186" i="3"/>
  <c r="D186" i="3"/>
  <c r="S185" i="3"/>
  <c r="P185" i="3"/>
  <c r="M185" i="3"/>
  <c r="J185" i="3"/>
  <c r="G185" i="3"/>
  <c r="D185" i="3"/>
  <c r="S184" i="3"/>
  <c r="P184" i="3"/>
  <c r="M184" i="3"/>
  <c r="J184" i="3"/>
  <c r="G184" i="3"/>
  <c r="D184" i="3"/>
  <c r="S183" i="3"/>
  <c r="P183" i="3"/>
  <c r="M183" i="3"/>
  <c r="J183" i="3"/>
  <c r="G183" i="3"/>
  <c r="D183" i="3"/>
  <c r="S182" i="3"/>
  <c r="P182" i="3"/>
  <c r="M182" i="3"/>
  <c r="J182" i="3"/>
  <c r="G182" i="3"/>
  <c r="D182" i="3"/>
  <c r="S181" i="3"/>
  <c r="P181" i="3"/>
  <c r="M181" i="3"/>
  <c r="J181" i="3"/>
  <c r="G181" i="3"/>
  <c r="D181" i="3"/>
  <c r="S180" i="3"/>
  <c r="P180" i="3"/>
  <c r="M180" i="3"/>
  <c r="J180" i="3"/>
  <c r="G180" i="3"/>
  <c r="D180" i="3"/>
  <c r="S179" i="3"/>
  <c r="P179" i="3"/>
  <c r="M179" i="3"/>
  <c r="J179" i="3"/>
  <c r="G179" i="3"/>
  <c r="D179" i="3"/>
  <c r="S178" i="3"/>
  <c r="P178" i="3"/>
  <c r="M178" i="3"/>
  <c r="J178" i="3"/>
  <c r="G178" i="3"/>
  <c r="D178" i="3"/>
  <c r="S175" i="3"/>
  <c r="P175" i="3"/>
  <c r="M175" i="3"/>
  <c r="J175" i="3"/>
  <c r="G175" i="3"/>
  <c r="D175" i="3"/>
  <c r="S174" i="3"/>
  <c r="P174" i="3"/>
  <c r="M174" i="3"/>
  <c r="J174" i="3"/>
  <c r="G174" i="3"/>
  <c r="D174" i="3"/>
  <c r="S173" i="3"/>
  <c r="P173" i="3"/>
  <c r="M173" i="3"/>
  <c r="J173" i="3"/>
  <c r="G173" i="3"/>
  <c r="D173" i="3"/>
  <c r="S172" i="3"/>
  <c r="P172" i="3"/>
  <c r="M172" i="3"/>
  <c r="J172" i="3"/>
  <c r="G172" i="3"/>
  <c r="D172" i="3"/>
  <c r="S171" i="3"/>
  <c r="P171" i="3"/>
  <c r="M171" i="3"/>
  <c r="J171" i="3"/>
  <c r="G171" i="3"/>
  <c r="D171" i="3"/>
  <c r="S170" i="3"/>
  <c r="P170" i="3"/>
  <c r="M170" i="3"/>
  <c r="J170" i="3"/>
  <c r="G170" i="3"/>
  <c r="D170" i="3"/>
  <c r="S169" i="3"/>
  <c r="P169" i="3"/>
  <c r="M169" i="3"/>
  <c r="J169" i="3"/>
  <c r="G169" i="3"/>
  <c r="D169" i="3"/>
  <c r="S168" i="3"/>
  <c r="P168" i="3"/>
  <c r="M168" i="3"/>
  <c r="J168" i="3"/>
  <c r="G168" i="3"/>
  <c r="D168" i="3"/>
  <c r="S167" i="3"/>
  <c r="P167" i="3"/>
  <c r="M167" i="3"/>
  <c r="J167" i="3"/>
  <c r="G167" i="3"/>
  <c r="D167" i="3"/>
  <c r="S166" i="3"/>
  <c r="P166" i="3"/>
  <c r="M166" i="3"/>
  <c r="J166" i="3"/>
  <c r="G166" i="3"/>
  <c r="D166" i="3"/>
  <c r="S165" i="3"/>
  <c r="P165" i="3"/>
  <c r="M165" i="3"/>
  <c r="J165" i="3"/>
  <c r="G165" i="3"/>
  <c r="D165" i="3"/>
  <c r="S164" i="3"/>
  <c r="P164" i="3"/>
  <c r="M164" i="3"/>
  <c r="J164" i="3"/>
  <c r="G164" i="3"/>
  <c r="D164" i="3"/>
  <c r="S163" i="3"/>
  <c r="P163" i="3"/>
  <c r="M163" i="3"/>
  <c r="J163" i="3"/>
  <c r="G163" i="3"/>
  <c r="D163" i="3"/>
  <c r="S162" i="3"/>
  <c r="P162" i="3"/>
  <c r="M162" i="3"/>
  <c r="J162" i="3"/>
  <c r="G162" i="3"/>
  <c r="D162" i="3"/>
  <c r="S161" i="3"/>
  <c r="P161" i="3"/>
  <c r="M161" i="3"/>
  <c r="J161" i="3"/>
  <c r="G161" i="3"/>
  <c r="D161" i="3"/>
  <c r="S160" i="3"/>
  <c r="P160" i="3"/>
  <c r="M160" i="3"/>
  <c r="J160" i="3"/>
  <c r="G160" i="3"/>
  <c r="D160" i="3"/>
  <c r="S159" i="3"/>
  <c r="P159" i="3"/>
  <c r="M159" i="3"/>
  <c r="J159" i="3"/>
  <c r="G159" i="3"/>
  <c r="D159" i="3"/>
  <c r="S158" i="3"/>
  <c r="P158" i="3"/>
  <c r="M158" i="3"/>
  <c r="J158" i="3"/>
  <c r="G158" i="3"/>
  <c r="D158" i="3"/>
  <c r="S157" i="3"/>
  <c r="P157" i="3"/>
  <c r="M157" i="3"/>
  <c r="J157" i="3"/>
  <c r="G157" i="3"/>
  <c r="D157" i="3"/>
  <c r="S156" i="3"/>
  <c r="P156" i="3"/>
  <c r="M156" i="3"/>
  <c r="J156" i="3"/>
  <c r="G156" i="3"/>
  <c r="D156" i="3"/>
  <c r="S155" i="3"/>
  <c r="P155" i="3"/>
  <c r="M155" i="3"/>
  <c r="J155" i="3"/>
  <c r="G155" i="3"/>
  <c r="D155" i="3"/>
  <c r="S154" i="3"/>
  <c r="P154" i="3"/>
  <c r="M154" i="3"/>
  <c r="J154" i="3"/>
  <c r="G154" i="3"/>
  <c r="D154" i="3"/>
  <c r="S153" i="3"/>
  <c r="P153" i="3"/>
  <c r="M153" i="3"/>
  <c r="J153" i="3"/>
  <c r="G153" i="3"/>
  <c r="D153" i="3"/>
  <c r="S152" i="3"/>
  <c r="P152" i="3"/>
  <c r="M152" i="3"/>
  <c r="J152" i="3"/>
  <c r="G152" i="3"/>
  <c r="D152" i="3"/>
  <c r="S151" i="3"/>
  <c r="P151" i="3"/>
  <c r="M151" i="3"/>
  <c r="J151" i="3"/>
  <c r="G151" i="3"/>
  <c r="D151" i="3"/>
  <c r="S150" i="3"/>
  <c r="P150" i="3"/>
  <c r="M150" i="3"/>
  <c r="J150" i="3"/>
  <c r="G150" i="3"/>
  <c r="D150" i="3"/>
  <c r="S149" i="3"/>
  <c r="P149" i="3"/>
  <c r="M149" i="3"/>
  <c r="J149" i="3"/>
  <c r="G149" i="3"/>
  <c r="D149" i="3"/>
  <c r="S148" i="3"/>
  <c r="P148" i="3"/>
  <c r="M148" i="3"/>
  <c r="J148" i="3"/>
  <c r="G148" i="3"/>
  <c r="D148" i="3"/>
  <c r="S147" i="3"/>
  <c r="P147" i="3"/>
  <c r="M147" i="3"/>
  <c r="J147" i="3"/>
  <c r="G147" i="3"/>
  <c r="D147" i="3"/>
  <c r="S146" i="3"/>
  <c r="P146" i="3"/>
  <c r="M146" i="3"/>
  <c r="J146" i="3"/>
  <c r="G146" i="3"/>
  <c r="D146" i="3"/>
  <c r="S145" i="3"/>
  <c r="P145" i="3"/>
  <c r="M145" i="3"/>
  <c r="J145" i="3"/>
  <c r="G145" i="3"/>
  <c r="D145" i="3"/>
  <c r="S144" i="3"/>
  <c r="P144" i="3"/>
  <c r="M144" i="3"/>
  <c r="J144" i="3"/>
  <c r="G144" i="3"/>
  <c r="D144" i="3"/>
  <c r="S143" i="3"/>
  <c r="P143" i="3"/>
  <c r="M143" i="3"/>
  <c r="J143" i="3"/>
  <c r="G143" i="3"/>
  <c r="D143" i="3"/>
  <c r="S142" i="3"/>
  <c r="P142" i="3"/>
  <c r="M142" i="3"/>
  <c r="J142" i="3"/>
  <c r="G142" i="3"/>
  <c r="D142" i="3"/>
  <c r="S141" i="3"/>
  <c r="P141" i="3"/>
  <c r="M141" i="3"/>
  <c r="J141" i="3"/>
  <c r="G141" i="3"/>
  <c r="D141" i="3"/>
  <c r="S140" i="3"/>
  <c r="P140" i="3"/>
  <c r="M140" i="3"/>
  <c r="J140" i="3"/>
  <c r="G140" i="3"/>
  <c r="D140" i="3"/>
  <c r="S139" i="3"/>
  <c r="P139" i="3"/>
  <c r="M139" i="3"/>
  <c r="J139" i="3"/>
  <c r="G139" i="3"/>
  <c r="D139" i="3"/>
  <c r="S136" i="3"/>
  <c r="P136" i="3"/>
  <c r="M136" i="3"/>
  <c r="J136" i="3"/>
  <c r="G136" i="3"/>
  <c r="D136" i="3"/>
  <c r="S135" i="3"/>
  <c r="P135" i="3"/>
  <c r="M135" i="3"/>
  <c r="J135" i="3"/>
  <c r="G135" i="3"/>
  <c r="D135" i="3"/>
  <c r="S134" i="3"/>
  <c r="P134" i="3"/>
  <c r="M134" i="3"/>
  <c r="J134" i="3"/>
  <c r="G134" i="3"/>
  <c r="D134" i="3"/>
  <c r="S133" i="3"/>
  <c r="P133" i="3"/>
  <c r="M133" i="3"/>
  <c r="J133" i="3"/>
  <c r="G133" i="3"/>
  <c r="D133" i="3"/>
  <c r="S132" i="3"/>
  <c r="P132" i="3"/>
  <c r="M132" i="3"/>
  <c r="J132" i="3"/>
  <c r="G132" i="3"/>
  <c r="D132" i="3"/>
  <c r="S131" i="3"/>
  <c r="P131" i="3"/>
  <c r="M131" i="3"/>
  <c r="J131" i="3"/>
  <c r="G131" i="3"/>
  <c r="D131" i="3"/>
  <c r="S130" i="3"/>
  <c r="P130" i="3"/>
  <c r="M130" i="3"/>
  <c r="J130" i="3"/>
  <c r="G130" i="3"/>
  <c r="D130" i="3"/>
  <c r="S129" i="3"/>
  <c r="P129" i="3"/>
  <c r="M129" i="3"/>
  <c r="J129" i="3"/>
  <c r="G129" i="3"/>
  <c r="D129" i="3"/>
  <c r="S128" i="3"/>
  <c r="P128" i="3"/>
  <c r="M128" i="3"/>
  <c r="J128" i="3"/>
  <c r="G128" i="3"/>
  <c r="D128" i="3"/>
  <c r="S127" i="3"/>
  <c r="P127" i="3"/>
  <c r="M127" i="3"/>
  <c r="J127" i="3"/>
  <c r="G127" i="3"/>
  <c r="D127" i="3"/>
  <c r="S126" i="3"/>
  <c r="P126" i="3"/>
  <c r="M126" i="3"/>
  <c r="J126" i="3"/>
  <c r="G126" i="3"/>
  <c r="D126" i="3"/>
  <c r="S125" i="3"/>
  <c r="P125" i="3"/>
  <c r="M125" i="3"/>
  <c r="J125" i="3"/>
  <c r="G125" i="3"/>
  <c r="D125" i="3"/>
  <c r="S122" i="3"/>
  <c r="P122" i="3"/>
  <c r="M122" i="3"/>
  <c r="J122" i="3"/>
  <c r="G122" i="3"/>
  <c r="D122" i="3"/>
  <c r="S121" i="3"/>
  <c r="P121" i="3"/>
  <c r="M121" i="3"/>
  <c r="J121" i="3"/>
  <c r="G121" i="3"/>
  <c r="D121" i="3"/>
  <c r="S120" i="3"/>
  <c r="P120" i="3"/>
  <c r="M120" i="3"/>
  <c r="J120" i="3"/>
  <c r="G120" i="3"/>
  <c r="D120" i="3"/>
  <c r="S119" i="3"/>
  <c r="P119" i="3"/>
  <c r="M119" i="3"/>
  <c r="J119" i="3"/>
  <c r="G119" i="3"/>
  <c r="D119" i="3"/>
  <c r="S118" i="3"/>
  <c r="P118" i="3"/>
  <c r="M118" i="3"/>
  <c r="J118" i="3"/>
  <c r="G118" i="3"/>
  <c r="D118" i="3"/>
  <c r="S117" i="3"/>
  <c r="P117" i="3"/>
  <c r="M117" i="3"/>
  <c r="J117" i="3"/>
  <c r="G117" i="3"/>
  <c r="D117" i="3"/>
  <c r="S116" i="3"/>
  <c r="P116" i="3"/>
  <c r="M116" i="3"/>
  <c r="J116" i="3"/>
  <c r="G116" i="3"/>
  <c r="D116" i="3"/>
  <c r="S115" i="3"/>
  <c r="P115" i="3"/>
  <c r="M115" i="3"/>
  <c r="J115" i="3"/>
  <c r="G115" i="3"/>
  <c r="D115" i="3"/>
  <c r="S112" i="3"/>
  <c r="P112" i="3"/>
  <c r="M112" i="3"/>
  <c r="J112" i="3"/>
  <c r="G112" i="3"/>
  <c r="D112" i="3"/>
  <c r="S111" i="3"/>
  <c r="P111" i="3"/>
  <c r="M111" i="3"/>
  <c r="J111" i="3"/>
  <c r="G111" i="3"/>
  <c r="D111" i="3"/>
  <c r="S110" i="3"/>
  <c r="P110" i="3"/>
  <c r="M110" i="3"/>
  <c r="J110" i="3"/>
  <c r="G110" i="3"/>
  <c r="D110" i="3"/>
  <c r="S109" i="3"/>
  <c r="P109" i="3"/>
  <c r="M109" i="3"/>
  <c r="J109" i="3"/>
  <c r="G109" i="3"/>
  <c r="D109" i="3"/>
  <c r="S108" i="3"/>
  <c r="P108" i="3"/>
  <c r="M108" i="3"/>
  <c r="J108" i="3"/>
  <c r="G108" i="3"/>
  <c r="D108" i="3"/>
  <c r="S107" i="3"/>
  <c r="P107" i="3"/>
  <c r="M107" i="3"/>
  <c r="J107" i="3"/>
  <c r="G107" i="3"/>
  <c r="D107" i="3"/>
  <c r="S106" i="3"/>
  <c r="P106" i="3"/>
  <c r="M106" i="3"/>
  <c r="J106" i="3"/>
  <c r="G106" i="3"/>
  <c r="D106" i="3"/>
  <c r="S105" i="3"/>
  <c r="P105" i="3"/>
  <c r="M105" i="3"/>
  <c r="J105" i="3"/>
  <c r="G105" i="3"/>
  <c r="D105" i="3"/>
  <c r="S104" i="3"/>
  <c r="P104" i="3"/>
  <c r="M104" i="3"/>
  <c r="J104" i="3"/>
  <c r="G104" i="3"/>
  <c r="D104" i="3"/>
  <c r="S103" i="3"/>
  <c r="P103" i="3"/>
  <c r="M103" i="3"/>
  <c r="J103" i="3"/>
  <c r="G103" i="3"/>
  <c r="D103" i="3"/>
  <c r="S102" i="3"/>
  <c r="P102" i="3"/>
  <c r="M102" i="3"/>
  <c r="J102" i="3"/>
  <c r="G102" i="3"/>
  <c r="D102" i="3"/>
  <c r="S101" i="3"/>
  <c r="P101" i="3"/>
  <c r="M101" i="3"/>
  <c r="J101" i="3"/>
  <c r="G101" i="3"/>
  <c r="D101" i="3"/>
  <c r="S100" i="3"/>
  <c r="P100" i="3"/>
  <c r="M100" i="3"/>
  <c r="J100" i="3"/>
  <c r="G100" i="3"/>
  <c r="D100" i="3"/>
  <c r="S99" i="3"/>
  <c r="P99" i="3"/>
  <c r="M99" i="3"/>
  <c r="J99" i="3"/>
  <c r="G99" i="3"/>
  <c r="D99" i="3"/>
  <c r="S96" i="3"/>
  <c r="P96" i="3"/>
  <c r="M96" i="3"/>
  <c r="J96" i="3"/>
  <c r="G96" i="3"/>
  <c r="D96" i="3"/>
  <c r="S95" i="3"/>
  <c r="P95" i="3"/>
  <c r="M95" i="3"/>
  <c r="J95" i="3"/>
  <c r="G95" i="3"/>
  <c r="D95" i="3"/>
  <c r="S94" i="3"/>
  <c r="P94" i="3"/>
  <c r="M94" i="3"/>
  <c r="J94" i="3"/>
  <c r="G94" i="3"/>
  <c r="D94" i="3"/>
  <c r="S93" i="3"/>
  <c r="P93" i="3"/>
  <c r="M93" i="3"/>
  <c r="J93" i="3"/>
  <c r="G93" i="3"/>
  <c r="D93" i="3"/>
  <c r="S92" i="3"/>
  <c r="P92" i="3"/>
  <c r="M92" i="3"/>
  <c r="J92" i="3"/>
  <c r="G92" i="3"/>
  <c r="D92" i="3"/>
  <c r="S91" i="3"/>
  <c r="P91" i="3"/>
  <c r="M91" i="3"/>
  <c r="J91" i="3"/>
  <c r="G91" i="3"/>
  <c r="D91" i="3"/>
  <c r="S90" i="3"/>
  <c r="P90" i="3"/>
  <c r="M90" i="3"/>
  <c r="J90" i="3"/>
  <c r="G90" i="3"/>
  <c r="D90" i="3"/>
  <c r="S89" i="3"/>
  <c r="P89" i="3"/>
  <c r="M89" i="3"/>
  <c r="J89" i="3"/>
  <c r="G89" i="3"/>
  <c r="D89" i="3"/>
  <c r="S88" i="3"/>
  <c r="P88" i="3"/>
  <c r="M88" i="3"/>
  <c r="J88" i="3"/>
  <c r="G88" i="3"/>
  <c r="D88" i="3"/>
  <c r="S85" i="3"/>
  <c r="P85" i="3"/>
  <c r="M85" i="3"/>
  <c r="J85" i="3"/>
  <c r="G85" i="3"/>
  <c r="D85" i="3"/>
  <c r="S84" i="3"/>
  <c r="P84" i="3"/>
  <c r="M84" i="3"/>
  <c r="J84" i="3"/>
  <c r="G84" i="3"/>
  <c r="D84" i="3"/>
  <c r="S83" i="3"/>
  <c r="P83" i="3"/>
  <c r="M83" i="3"/>
  <c r="J83" i="3"/>
  <c r="G83" i="3"/>
  <c r="D83" i="3"/>
  <c r="S82" i="3"/>
  <c r="P82" i="3"/>
  <c r="M82" i="3"/>
  <c r="J82" i="3"/>
  <c r="G82" i="3"/>
  <c r="D82" i="3"/>
  <c r="S81" i="3"/>
  <c r="P81" i="3"/>
  <c r="M81" i="3"/>
  <c r="J81" i="3"/>
  <c r="G81" i="3"/>
  <c r="D81" i="3"/>
  <c r="S80" i="3"/>
  <c r="P80" i="3"/>
  <c r="M80" i="3"/>
  <c r="J80" i="3"/>
  <c r="G80" i="3"/>
  <c r="D80" i="3"/>
  <c r="S79" i="3"/>
  <c r="P79" i="3"/>
  <c r="M79" i="3"/>
  <c r="J79" i="3"/>
  <c r="G79" i="3"/>
  <c r="D79" i="3"/>
  <c r="S78" i="3"/>
  <c r="P78" i="3"/>
  <c r="M78" i="3"/>
  <c r="J78" i="3"/>
  <c r="G78" i="3"/>
  <c r="D78" i="3"/>
  <c r="S77" i="3"/>
  <c r="P77" i="3"/>
  <c r="M77" i="3"/>
  <c r="J77" i="3"/>
  <c r="G77" i="3"/>
  <c r="D77" i="3"/>
  <c r="S76" i="3"/>
  <c r="P76" i="3"/>
  <c r="M76" i="3"/>
  <c r="J76" i="3"/>
  <c r="G76" i="3"/>
  <c r="D76" i="3"/>
  <c r="S75" i="3"/>
  <c r="P75" i="3"/>
  <c r="M75" i="3"/>
  <c r="J75" i="3"/>
  <c r="G75" i="3"/>
  <c r="D75" i="3"/>
  <c r="S74" i="3"/>
  <c r="P74" i="3"/>
  <c r="M74" i="3"/>
  <c r="J74" i="3"/>
  <c r="G74" i="3"/>
  <c r="D74" i="3"/>
  <c r="S73" i="3"/>
  <c r="P73" i="3"/>
  <c r="M73" i="3"/>
  <c r="J73" i="3"/>
  <c r="G73" i="3"/>
  <c r="D73" i="3"/>
  <c r="S72" i="3"/>
  <c r="P72" i="3"/>
  <c r="M72" i="3"/>
  <c r="J72" i="3"/>
  <c r="G72" i="3"/>
  <c r="D72" i="3"/>
  <c r="S71" i="3"/>
  <c r="P71" i="3"/>
  <c r="M71" i="3"/>
  <c r="J71" i="3"/>
  <c r="G71" i="3"/>
  <c r="D71" i="3"/>
  <c r="S70" i="3"/>
  <c r="P70" i="3"/>
  <c r="M70" i="3"/>
  <c r="J70" i="3"/>
  <c r="G70" i="3"/>
  <c r="D70" i="3"/>
  <c r="S69" i="3"/>
  <c r="P69" i="3"/>
  <c r="M69" i="3"/>
  <c r="J69" i="3"/>
  <c r="G69" i="3"/>
  <c r="D69" i="3"/>
  <c r="S68" i="3"/>
  <c r="P68" i="3"/>
  <c r="M68" i="3"/>
  <c r="J68" i="3"/>
  <c r="G68" i="3"/>
  <c r="D68" i="3"/>
  <c r="S67" i="3"/>
  <c r="P67" i="3"/>
  <c r="M67" i="3"/>
  <c r="J67" i="3"/>
  <c r="G67" i="3"/>
  <c r="D67" i="3"/>
  <c r="S66" i="3"/>
  <c r="P66" i="3"/>
  <c r="M66" i="3"/>
  <c r="J66" i="3"/>
  <c r="G66" i="3"/>
  <c r="D66" i="3"/>
  <c r="S65" i="3"/>
  <c r="P65" i="3"/>
  <c r="M65" i="3"/>
  <c r="J65" i="3"/>
  <c r="G65" i="3"/>
  <c r="D65" i="3"/>
  <c r="S64" i="3"/>
  <c r="P64" i="3"/>
  <c r="M64" i="3"/>
  <c r="J64" i="3"/>
  <c r="G64" i="3"/>
  <c r="D64" i="3"/>
  <c r="S63" i="3"/>
  <c r="P63" i="3"/>
  <c r="M63" i="3"/>
  <c r="J63" i="3"/>
  <c r="G63" i="3"/>
  <c r="D63" i="3"/>
  <c r="S62" i="3"/>
  <c r="P62" i="3"/>
  <c r="M62" i="3"/>
  <c r="J62" i="3"/>
  <c r="G62" i="3"/>
  <c r="D62" i="3"/>
  <c r="S59" i="3"/>
  <c r="P59" i="3"/>
  <c r="M59" i="3"/>
  <c r="J59" i="3"/>
  <c r="G59" i="3"/>
  <c r="D59" i="3"/>
  <c r="S58" i="3"/>
  <c r="P58" i="3"/>
  <c r="M58" i="3"/>
  <c r="J58" i="3"/>
  <c r="G58" i="3"/>
  <c r="D58" i="3"/>
  <c r="S57" i="3"/>
  <c r="P57" i="3"/>
  <c r="M57" i="3"/>
  <c r="J57" i="3"/>
  <c r="G57" i="3"/>
  <c r="D57" i="3"/>
  <c r="S56" i="3"/>
  <c r="P56" i="3"/>
  <c r="M56" i="3"/>
  <c r="J56" i="3"/>
  <c r="G56" i="3"/>
  <c r="D56" i="3"/>
  <c r="S55" i="3"/>
  <c r="P55" i="3"/>
  <c r="M55" i="3"/>
  <c r="J55" i="3"/>
  <c r="G55" i="3"/>
  <c r="D55" i="3"/>
  <c r="S54" i="3"/>
  <c r="P54" i="3"/>
  <c r="M54" i="3"/>
  <c r="J54" i="3"/>
  <c r="G54" i="3"/>
  <c r="D54" i="3"/>
  <c r="S53" i="3"/>
  <c r="P53" i="3"/>
  <c r="M53" i="3"/>
  <c r="J53" i="3"/>
  <c r="G53" i="3"/>
  <c r="D53" i="3"/>
  <c r="S52" i="3"/>
  <c r="P52" i="3"/>
  <c r="M52" i="3"/>
  <c r="J52" i="3"/>
  <c r="G52" i="3"/>
  <c r="D52" i="3"/>
  <c r="S51" i="3"/>
  <c r="P51" i="3"/>
  <c r="M51" i="3"/>
  <c r="J51" i="3"/>
  <c r="G51" i="3"/>
  <c r="D51" i="3"/>
  <c r="S50" i="3"/>
  <c r="P50" i="3"/>
  <c r="M50" i="3"/>
  <c r="J50" i="3"/>
  <c r="G50" i="3"/>
  <c r="D50" i="3"/>
  <c r="S49" i="3"/>
  <c r="P49" i="3"/>
  <c r="M49" i="3"/>
  <c r="J49" i="3"/>
  <c r="G49" i="3"/>
  <c r="D49" i="3"/>
  <c r="S48" i="3"/>
  <c r="P48" i="3"/>
  <c r="M48" i="3"/>
  <c r="J48" i="3"/>
  <c r="G48" i="3"/>
  <c r="D48" i="3"/>
  <c r="S47" i="3"/>
  <c r="P47" i="3"/>
  <c r="M47" i="3"/>
  <c r="J47" i="3"/>
  <c r="G47" i="3"/>
  <c r="D47" i="3"/>
  <c r="S46" i="3"/>
  <c r="P46" i="3"/>
  <c r="M46" i="3"/>
  <c r="J46" i="3"/>
  <c r="G46" i="3"/>
  <c r="D46" i="3"/>
  <c r="S45" i="3"/>
  <c r="P45" i="3"/>
  <c r="M45" i="3"/>
  <c r="J45" i="3"/>
  <c r="G45" i="3"/>
  <c r="D45" i="3"/>
  <c r="S44" i="3"/>
  <c r="P44" i="3"/>
  <c r="M44" i="3"/>
  <c r="J44" i="3"/>
  <c r="G44" i="3"/>
  <c r="D44" i="3"/>
  <c r="S41" i="3"/>
  <c r="P41" i="3"/>
  <c r="M41" i="3"/>
  <c r="J41" i="3"/>
  <c r="G41" i="3"/>
  <c r="D41" i="3"/>
  <c r="S40" i="3"/>
  <c r="P40" i="3"/>
  <c r="M40" i="3"/>
  <c r="J40" i="3"/>
  <c r="G40" i="3"/>
  <c r="D40" i="3"/>
  <c r="S39" i="3"/>
  <c r="P39" i="3"/>
  <c r="M39" i="3"/>
  <c r="J39" i="3"/>
  <c r="G39" i="3"/>
  <c r="D39" i="3"/>
  <c r="S38" i="3"/>
  <c r="P38" i="3"/>
  <c r="M38" i="3"/>
  <c r="J38" i="3"/>
  <c r="G38" i="3"/>
  <c r="D38" i="3"/>
  <c r="S37" i="3"/>
  <c r="P37" i="3"/>
  <c r="M37" i="3"/>
  <c r="J37" i="3"/>
  <c r="G37" i="3"/>
  <c r="D37" i="3"/>
  <c r="S36" i="3"/>
  <c r="P36" i="3"/>
  <c r="M36" i="3"/>
  <c r="J36" i="3"/>
  <c r="G36" i="3"/>
  <c r="D36" i="3"/>
  <c r="S35" i="3"/>
  <c r="P35" i="3"/>
  <c r="M35" i="3"/>
  <c r="J35" i="3"/>
  <c r="G35" i="3"/>
  <c r="D35" i="3"/>
  <c r="S34" i="3"/>
  <c r="P34" i="3"/>
  <c r="M34" i="3"/>
  <c r="J34" i="3"/>
  <c r="G34" i="3"/>
  <c r="D34" i="3"/>
  <c r="S33" i="3"/>
  <c r="P33" i="3"/>
  <c r="M33" i="3"/>
  <c r="J33" i="3"/>
  <c r="G33" i="3"/>
  <c r="D33" i="3"/>
  <c r="S32" i="3"/>
  <c r="P32" i="3"/>
  <c r="M32" i="3"/>
  <c r="J32" i="3"/>
  <c r="G32" i="3"/>
  <c r="D32" i="3"/>
  <c r="S31" i="3"/>
  <c r="P31" i="3"/>
  <c r="M31" i="3"/>
  <c r="J31" i="3"/>
  <c r="G31" i="3"/>
  <c r="D31" i="3"/>
  <c r="S30" i="3"/>
  <c r="P30" i="3"/>
  <c r="M30" i="3"/>
  <c r="J30" i="3"/>
  <c r="G30" i="3"/>
  <c r="D30" i="3"/>
  <c r="S29" i="3"/>
  <c r="P29" i="3"/>
  <c r="M29" i="3"/>
  <c r="J29" i="3"/>
  <c r="G29" i="3"/>
  <c r="D29" i="3"/>
  <c r="S28" i="3"/>
  <c r="P28" i="3"/>
  <c r="M28" i="3"/>
  <c r="J28" i="3"/>
  <c r="G28" i="3"/>
  <c r="D28" i="3"/>
  <c r="S27" i="3"/>
  <c r="P27" i="3"/>
  <c r="M27" i="3"/>
  <c r="J27" i="3"/>
  <c r="G27" i="3"/>
  <c r="D27" i="3"/>
  <c r="S26" i="3"/>
  <c r="P26" i="3"/>
  <c r="M26" i="3"/>
  <c r="J26" i="3"/>
  <c r="G26" i="3"/>
  <c r="D26" i="3"/>
  <c r="S25" i="3"/>
  <c r="P25" i="3"/>
  <c r="M25" i="3"/>
  <c r="J25" i="3"/>
  <c r="G25" i="3"/>
  <c r="D25" i="3"/>
  <c r="S24" i="3"/>
  <c r="P24" i="3"/>
  <c r="M24" i="3"/>
  <c r="J24" i="3"/>
  <c r="G24" i="3"/>
  <c r="D24" i="3"/>
  <c r="S23" i="3"/>
  <c r="P23" i="3"/>
  <c r="M23" i="3"/>
  <c r="J23" i="3"/>
  <c r="G23" i="3"/>
  <c r="D23" i="3"/>
  <c r="S22" i="3"/>
  <c r="P22" i="3"/>
  <c r="M22" i="3"/>
  <c r="J22" i="3"/>
  <c r="G22" i="3"/>
  <c r="D22" i="3"/>
  <c r="S21" i="3"/>
  <c r="P21" i="3"/>
  <c r="M21" i="3"/>
  <c r="J21" i="3"/>
  <c r="G21" i="3"/>
  <c r="D21" i="3"/>
  <c r="S20" i="3"/>
  <c r="P20" i="3"/>
  <c r="M20" i="3"/>
  <c r="J20" i="3"/>
  <c r="G20" i="3"/>
  <c r="D20" i="3"/>
  <c r="S19" i="3"/>
  <c r="P19" i="3"/>
  <c r="M19" i="3"/>
  <c r="J19" i="3"/>
  <c r="G19" i="3"/>
  <c r="D19" i="3"/>
  <c r="S18" i="3"/>
  <c r="P18" i="3"/>
  <c r="M18" i="3"/>
  <c r="J18" i="3"/>
  <c r="G18" i="3"/>
  <c r="D18" i="3"/>
  <c r="S17" i="3"/>
  <c r="P17" i="3"/>
  <c r="M17" i="3"/>
  <c r="J17" i="3"/>
  <c r="G17" i="3"/>
  <c r="D17" i="3"/>
  <c r="S14" i="3"/>
  <c r="P14" i="3"/>
  <c r="M14" i="3"/>
  <c r="J14" i="3"/>
  <c r="G14" i="3"/>
  <c r="D14" i="3"/>
  <c r="S13" i="3"/>
  <c r="P13" i="3"/>
  <c r="M13" i="3"/>
  <c r="J13" i="3"/>
  <c r="G13" i="3"/>
  <c r="D13" i="3"/>
  <c r="S12" i="3"/>
  <c r="P12" i="3"/>
  <c r="M12" i="3"/>
  <c r="J12" i="3"/>
  <c r="G12" i="3"/>
  <c r="D12" i="3"/>
  <c r="S11" i="3"/>
  <c r="P11" i="3"/>
  <c r="M11" i="3"/>
  <c r="J11" i="3"/>
  <c r="G11" i="3"/>
  <c r="D11" i="3"/>
  <c r="S10" i="3"/>
  <c r="P10" i="3"/>
  <c r="M10" i="3"/>
  <c r="J10" i="3"/>
  <c r="G10" i="3"/>
  <c r="D10" i="3"/>
  <c r="S9" i="3"/>
  <c r="P9" i="3"/>
  <c r="M9" i="3"/>
  <c r="J9" i="3"/>
  <c r="G9" i="3"/>
  <c r="D9" i="3"/>
  <c r="S8" i="3"/>
  <c r="P8" i="3"/>
  <c r="M8" i="3"/>
  <c r="J8" i="3"/>
  <c r="G8" i="3"/>
  <c r="D8" i="3"/>
  <c r="S7" i="3"/>
  <c r="P7" i="3"/>
  <c r="M7" i="3"/>
  <c r="J7" i="3"/>
  <c r="G7" i="3"/>
  <c r="D7" i="3"/>
  <c r="S6" i="3"/>
  <c r="P6" i="3"/>
  <c r="M6" i="3"/>
  <c r="J6" i="3"/>
  <c r="G6" i="3"/>
  <c r="D6" i="3"/>
  <c r="S5" i="3"/>
  <c r="P5" i="3"/>
  <c r="M5" i="3"/>
  <c r="J5" i="3"/>
  <c r="G5" i="3"/>
  <c r="D5" i="3"/>
  <c r="S4" i="3"/>
  <c r="S336" i="3" s="1"/>
  <c r="P4" i="3"/>
  <c r="P336" i="3" s="1"/>
  <c r="M4" i="3"/>
  <c r="J4" i="3"/>
  <c r="G4" i="3"/>
  <c r="G336" i="3" s="1"/>
  <c r="D4" i="3"/>
  <c r="D336" i="3" s="1"/>
  <c r="R336" i="2"/>
  <c r="Q336" i="2"/>
  <c r="O336" i="2"/>
  <c r="N336" i="2"/>
  <c r="K336" i="2"/>
  <c r="J336" i="2"/>
  <c r="G336" i="2"/>
  <c r="F336" i="2"/>
  <c r="C336" i="2"/>
  <c r="B336" i="2"/>
  <c r="U334" i="2"/>
  <c r="T334" i="2"/>
  <c r="V334" i="2" s="1"/>
  <c r="M334" i="2" s="1"/>
  <c r="S334" i="2"/>
  <c r="P334" i="2"/>
  <c r="L334" i="2"/>
  <c r="H334" i="2"/>
  <c r="D334" i="2"/>
  <c r="V331" i="2"/>
  <c r="U331" i="2"/>
  <c r="T331" i="2"/>
  <c r="S331" i="2"/>
  <c r="P331" i="2"/>
  <c r="L331" i="2"/>
  <c r="H331" i="2"/>
  <c r="D331" i="2"/>
  <c r="U330" i="2"/>
  <c r="T330" i="2"/>
  <c r="S330" i="2"/>
  <c r="P330" i="2"/>
  <c r="L330" i="2"/>
  <c r="H330" i="2"/>
  <c r="D330" i="2"/>
  <c r="U327" i="2"/>
  <c r="T327" i="2"/>
  <c r="V327" i="2" s="1"/>
  <c r="S327" i="2"/>
  <c r="P327" i="2"/>
  <c r="L327" i="2"/>
  <c r="H327" i="2"/>
  <c r="D327" i="2"/>
  <c r="V326" i="2"/>
  <c r="U326" i="2"/>
  <c r="T326" i="2"/>
  <c r="S326" i="2"/>
  <c r="P326" i="2"/>
  <c r="M326" i="2"/>
  <c r="L326" i="2"/>
  <c r="H326" i="2"/>
  <c r="D326" i="2"/>
  <c r="V325" i="2"/>
  <c r="U325" i="2"/>
  <c r="T325" i="2"/>
  <c r="S325" i="2"/>
  <c r="P325" i="2"/>
  <c r="L325" i="2"/>
  <c r="H325" i="2"/>
  <c r="D325" i="2"/>
  <c r="U324" i="2"/>
  <c r="T324" i="2"/>
  <c r="S324" i="2"/>
  <c r="P324" i="2"/>
  <c r="L324" i="2"/>
  <c r="H324" i="2"/>
  <c r="D324" i="2"/>
  <c r="V323" i="2"/>
  <c r="U323" i="2"/>
  <c r="T323" i="2"/>
  <c r="S323" i="2"/>
  <c r="P323" i="2"/>
  <c r="M323" i="2"/>
  <c r="L323" i="2"/>
  <c r="H323" i="2"/>
  <c r="D323" i="2"/>
  <c r="V322" i="2"/>
  <c r="I322" i="2" s="1"/>
  <c r="U322" i="2"/>
  <c r="T322" i="2"/>
  <c r="S322" i="2"/>
  <c r="P322" i="2"/>
  <c r="L322" i="2"/>
  <c r="H322" i="2"/>
  <c r="E322" i="2"/>
  <c r="D322" i="2"/>
  <c r="U321" i="2"/>
  <c r="T321" i="2"/>
  <c r="V321" i="2" s="1"/>
  <c r="S321" i="2"/>
  <c r="P321" i="2"/>
  <c r="L321" i="2"/>
  <c r="I321" i="2"/>
  <c r="H321" i="2"/>
  <c r="D321" i="2"/>
  <c r="U320" i="2"/>
  <c r="T320" i="2"/>
  <c r="V320" i="2" s="1"/>
  <c r="S320" i="2"/>
  <c r="P320" i="2"/>
  <c r="L320" i="2"/>
  <c r="H320" i="2"/>
  <c r="D320" i="2"/>
  <c r="U319" i="2"/>
  <c r="V319" i="2" s="1"/>
  <c r="T319" i="2"/>
  <c r="S319" i="2"/>
  <c r="P319" i="2"/>
  <c r="L319" i="2"/>
  <c r="H319" i="2"/>
  <c r="E319" i="2"/>
  <c r="D319" i="2"/>
  <c r="U318" i="2"/>
  <c r="T318" i="2"/>
  <c r="S318" i="2"/>
  <c r="P318" i="2"/>
  <c r="L318" i="2"/>
  <c r="H318" i="2"/>
  <c r="D318" i="2"/>
  <c r="U317" i="2"/>
  <c r="T317" i="2"/>
  <c r="V317" i="2" s="1"/>
  <c r="S317" i="2"/>
  <c r="P317" i="2"/>
  <c r="L317" i="2"/>
  <c r="H317" i="2"/>
  <c r="D317" i="2"/>
  <c r="U316" i="2"/>
  <c r="V316" i="2" s="1"/>
  <c r="T316" i="2"/>
  <c r="S316" i="2"/>
  <c r="P316" i="2"/>
  <c r="L316" i="2"/>
  <c r="H316" i="2"/>
  <c r="D316" i="2"/>
  <c r="V315" i="2"/>
  <c r="U315" i="2"/>
  <c r="T315" i="2"/>
  <c r="S315" i="2"/>
  <c r="P315" i="2"/>
  <c r="L315" i="2"/>
  <c r="H315" i="2"/>
  <c r="D315" i="2"/>
  <c r="V314" i="2"/>
  <c r="U314" i="2"/>
  <c r="T314" i="2"/>
  <c r="S314" i="2"/>
  <c r="P314" i="2"/>
  <c r="L314" i="2"/>
  <c r="H314" i="2"/>
  <c r="D314" i="2"/>
  <c r="V313" i="2"/>
  <c r="U313" i="2"/>
  <c r="T313" i="2"/>
  <c r="S313" i="2"/>
  <c r="P313" i="2"/>
  <c r="M313" i="2"/>
  <c r="L313" i="2"/>
  <c r="H313" i="2"/>
  <c r="D313" i="2"/>
  <c r="U312" i="2"/>
  <c r="T312" i="2"/>
  <c r="V312" i="2" s="1"/>
  <c r="S312" i="2"/>
  <c r="P312" i="2"/>
  <c r="M312" i="2"/>
  <c r="L312" i="2"/>
  <c r="H312" i="2"/>
  <c r="D312" i="2"/>
  <c r="U311" i="2"/>
  <c r="T311" i="2"/>
  <c r="V311" i="2" s="1"/>
  <c r="S311" i="2"/>
  <c r="P311" i="2"/>
  <c r="L311" i="2"/>
  <c r="H311" i="2"/>
  <c r="D311" i="2"/>
  <c r="U310" i="2"/>
  <c r="T310" i="2"/>
  <c r="V310" i="2" s="1"/>
  <c r="S310" i="2"/>
  <c r="P310" i="2"/>
  <c r="L310" i="2"/>
  <c r="H310" i="2"/>
  <c r="D310" i="2"/>
  <c r="U309" i="2"/>
  <c r="T309" i="2"/>
  <c r="V309" i="2" s="1"/>
  <c r="E309" i="2" s="1"/>
  <c r="S309" i="2"/>
  <c r="P309" i="2"/>
  <c r="L309" i="2"/>
  <c r="M309" i="2" s="1"/>
  <c r="I309" i="2"/>
  <c r="H309" i="2"/>
  <c r="D309" i="2"/>
  <c r="V308" i="2"/>
  <c r="U308" i="2"/>
  <c r="T308" i="2"/>
  <c r="S308" i="2"/>
  <c r="P308" i="2"/>
  <c r="L308" i="2"/>
  <c r="H308" i="2"/>
  <c r="D308" i="2"/>
  <c r="U307" i="2"/>
  <c r="V307" i="2" s="1"/>
  <c r="I307" i="2" s="1"/>
  <c r="T307" i="2"/>
  <c r="S307" i="2"/>
  <c r="P307" i="2"/>
  <c r="M307" i="2"/>
  <c r="L307" i="2"/>
  <c r="H307" i="2"/>
  <c r="D307" i="2"/>
  <c r="E307" i="2" s="1"/>
  <c r="U306" i="2"/>
  <c r="T306" i="2"/>
  <c r="S306" i="2"/>
  <c r="P306" i="2"/>
  <c r="L306" i="2"/>
  <c r="H306" i="2"/>
  <c r="D306" i="2"/>
  <c r="U305" i="2"/>
  <c r="T305" i="2"/>
  <c r="V305" i="2" s="1"/>
  <c r="S305" i="2"/>
  <c r="P305" i="2"/>
  <c r="L305" i="2"/>
  <c r="I305" i="2"/>
  <c r="H305" i="2"/>
  <c r="D305" i="2"/>
  <c r="U304" i="2"/>
  <c r="T304" i="2"/>
  <c r="V304" i="2" s="1"/>
  <c r="S304" i="2"/>
  <c r="P304" i="2"/>
  <c r="L304" i="2"/>
  <c r="H304" i="2"/>
  <c r="D304" i="2"/>
  <c r="U303" i="2"/>
  <c r="T303" i="2"/>
  <c r="V303" i="2" s="1"/>
  <c r="S303" i="2"/>
  <c r="P303" i="2"/>
  <c r="L303" i="2"/>
  <c r="H303" i="2"/>
  <c r="D303" i="2"/>
  <c r="U302" i="2"/>
  <c r="T302" i="2"/>
  <c r="V302" i="2" s="1"/>
  <c r="S302" i="2"/>
  <c r="P302" i="2"/>
  <c r="L302" i="2"/>
  <c r="H302" i="2"/>
  <c r="D302" i="2"/>
  <c r="U301" i="2"/>
  <c r="T301" i="2"/>
  <c r="V301" i="2" s="1"/>
  <c r="S301" i="2"/>
  <c r="P301" i="2"/>
  <c r="L301" i="2"/>
  <c r="H301" i="2"/>
  <c r="D301" i="2"/>
  <c r="U300" i="2"/>
  <c r="T300" i="2"/>
  <c r="V300" i="2" s="1"/>
  <c r="S300" i="2"/>
  <c r="P300" i="2"/>
  <c r="L300" i="2"/>
  <c r="I300" i="2"/>
  <c r="H300" i="2"/>
  <c r="D300" i="2"/>
  <c r="V299" i="2"/>
  <c r="M299" i="2" s="1"/>
  <c r="U299" i="2"/>
  <c r="T299" i="2"/>
  <c r="S299" i="2"/>
  <c r="P299" i="2"/>
  <c r="L299" i="2"/>
  <c r="I299" i="2"/>
  <c r="H299" i="2"/>
  <c r="E299" i="2"/>
  <c r="D299" i="2"/>
  <c r="V298" i="2"/>
  <c r="U298" i="2"/>
  <c r="T298" i="2"/>
  <c r="S298" i="2"/>
  <c r="P298" i="2"/>
  <c r="L298" i="2"/>
  <c r="H298" i="2"/>
  <c r="D298" i="2"/>
  <c r="U297" i="2"/>
  <c r="T297" i="2"/>
  <c r="V297" i="2" s="1"/>
  <c r="S297" i="2"/>
  <c r="P297" i="2"/>
  <c r="L297" i="2"/>
  <c r="H297" i="2"/>
  <c r="D297" i="2"/>
  <c r="U296" i="2"/>
  <c r="T296" i="2"/>
  <c r="V296" i="2" s="1"/>
  <c r="S296" i="2"/>
  <c r="P296" i="2"/>
  <c r="M296" i="2"/>
  <c r="L296" i="2"/>
  <c r="H296" i="2"/>
  <c r="E296" i="2"/>
  <c r="D296" i="2"/>
  <c r="V293" i="2"/>
  <c r="M293" i="2" s="1"/>
  <c r="U293" i="2"/>
  <c r="T293" i="2"/>
  <c r="S293" i="2"/>
  <c r="P293" i="2"/>
  <c r="L293" i="2"/>
  <c r="H293" i="2"/>
  <c r="D293" i="2"/>
  <c r="V292" i="2"/>
  <c r="U292" i="2"/>
  <c r="T292" i="2"/>
  <c r="S292" i="2"/>
  <c r="P292" i="2"/>
  <c r="L292" i="2"/>
  <c r="H292" i="2"/>
  <c r="D292" i="2"/>
  <c r="U291" i="2"/>
  <c r="V291" i="2" s="1"/>
  <c r="T291" i="2"/>
  <c r="S291" i="2"/>
  <c r="P291" i="2"/>
  <c r="L291" i="2"/>
  <c r="H291" i="2"/>
  <c r="D291" i="2"/>
  <c r="U290" i="2"/>
  <c r="T290" i="2"/>
  <c r="S290" i="2"/>
  <c r="P290" i="2"/>
  <c r="L290" i="2"/>
  <c r="H290" i="2"/>
  <c r="D290" i="2"/>
  <c r="U289" i="2"/>
  <c r="T289" i="2"/>
  <c r="S289" i="2"/>
  <c r="P289" i="2"/>
  <c r="L289" i="2"/>
  <c r="H289" i="2"/>
  <c r="D289" i="2"/>
  <c r="V288" i="2"/>
  <c r="U288" i="2"/>
  <c r="T288" i="2"/>
  <c r="S288" i="2"/>
  <c r="P288" i="2"/>
  <c r="L288" i="2"/>
  <c r="H288" i="2"/>
  <c r="D288" i="2"/>
  <c r="V287" i="2"/>
  <c r="E287" i="2" s="1"/>
  <c r="U287" i="2"/>
  <c r="T287" i="2"/>
  <c r="S287" i="2"/>
  <c r="P287" i="2"/>
  <c r="M287" i="2"/>
  <c r="L287" i="2"/>
  <c r="I287" i="2"/>
  <c r="H287" i="2"/>
  <c r="D287" i="2"/>
  <c r="U286" i="2"/>
  <c r="T286" i="2"/>
  <c r="S286" i="2"/>
  <c r="P286" i="2"/>
  <c r="L286" i="2"/>
  <c r="H286" i="2"/>
  <c r="D286" i="2"/>
  <c r="V285" i="2"/>
  <c r="U285" i="2"/>
  <c r="T285" i="2"/>
  <c r="S285" i="2"/>
  <c r="P285" i="2"/>
  <c r="L285" i="2"/>
  <c r="H285" i="2"/>
  <c r="D285" i="2"/>
  <c r="U284" i="2"/>
  <c r="V284" i="2" s="1"/>
  <c r="T284" i="2"/>
  <c r="S284" i="2"/>
  <c r="P284" i="2"/>
  <c r="L284" i="2"/>
  <c r="H284" i="2"/>
  <c r="D284" i="2"/>
  <c r="U283" i="2"/>
  <c r="T283" i="2"/>
  <c r="V283" i="2" s="1"/>
  <c r="S283" i="2"/>
  <c r="P283" i="2"/>
  <c r="L283" i="2"/>
  <c r="H283" i="2"/>
  <c r="D283" i="2"/>
  <c r="U282" i="2"/>
  <c r="T282" i="2"/>
  <c r="V282" i="2" s="1"/>
  <c r="S282" i="2"/>
  <c r="P282" i="2"/>
  <c r="L282" i="2"/>
  <c r="H282" i="2"/>
  <c r="D282" i="2"/>
  <c r="V279" i="2"/>
  <c r="M279" i="2" s="1"/>
  <c r="U279" i="2"/>
  <c r="T279" i="2"/>
  <c r="S279" i="2"/>
  <c r="P279" i="2"/>
  <c r="L279" i="2"/>
  <c r="I279" i="2"/>
  <c r="H279" i="2"/>
  <c r="E279" i="2"/>
  <c r="D279" i="2"/>
  <c r="U278" i="2"/>
  <c r="T278" i="2"/>
  <c r="S278" i="2"/>
  <c r="P278" i="2"/>
  <c r="L278" i="2"/>
  <c r="H278" i="2"/>
  <c r="D278" i="2"/>
  <c r="U277" i="2"/>
  <c r="T277" i="2"/>
  <c r="V277" i="2" s="1"/>
  <c r="E277" i="2" s="1"/>
  <c r="S277" i="2"/>
  <c r="P277" i="2"/>
  <c r="L277" i="2"/>
  <c r="H277" i="2"/>
  <c r="D277" i="2"/>
  <c r="U276" i="2"/>
  <c r="V276" i="2" s="1"/>
  <c r="T276" i="2"/>
  <c r="S276" i="2"/>
  <c r="P276" i="2"/>
  <c r="L276" i="2"/>
  <c r="I276" i="2"/>
  <c r="H276" i="2"/>
  <c r="D276" i="2"/>
  <c r="U275" i="2"/>
  <c r="V275" i="2" s="1"/>
  <c r="I275" i="2" s="1"/>
  <c r="T275" i="2"/>
  <c r="S275" i="2"/>
  <c r="P275" i="2"/>
  <c r="L275" i="2"/>
  <c r="H275" i="2"/>
  <c r="E275" i="2"/>
  <c r="D275" i="2"/>
  <c r="U274" i="2"/>
  <c r="T274" i="2"/>
  <c r="V274" i="2" s="1"/>
  <c r="S274" i="2"/>
  <c r="P274" i="2"/>
  <c r="L274" i="2"/>
  <c r="H274" i="2"/>
  <c r="E274" i="2"/>
  <c r="D274" i="2"/>
  <c r="V273" i="2"/>
  <c r="M273" i="2" s="1"/>
  <c r="U273" i="2"/>
  <c r="T273" i="2"/>
  <c r="S273" i="2"/>
  <c r="P273" i="2"/>
  <c r="L273" i="2"/>
  <c r="H273" i="2"/>
  <c r="D273" i="2"/>
  <c r="U272" i="2"/>
  <c r="T272" i="2"/>
  <c r="V272" i="2" s="1"/>
  <c r="S272" i="2"/>
  <c r="P272" i="2"/>
  <c r="L272" i="2"/>
  <c r="H272" i="2"/>
  <c r="D272" i="2"/>
  <c r="V271" i="2"/>
  <c r="U271" i="2"/>
  <c r="T271" i="2"/>
  <c r="S271" i="2"/>
  <c r="P271" i="2"/>
  <c r="M271" i="2"/>
  <c r="L271" i="2"/>
  <c r="H271" i="2"/>
  <c r="E271" i="2"/>
  <c r="D271" i="2"/>
  <c r="U270" i="2"/>
  <c r="T270" i="2"/>
  <c r="V270" i="2" s="1"/>
  <c r="I270" i="2" s="1"/>
  <c r="S270" i="2"/>
  <c r="P270" i="2"/>
  <c r="L270" i="2"/>
  <c r="H270" i="2"/>
  <c r="E270" i="2"/>
  <c r="D270" i="2"/>
  <c r="U269" i="2"/>
  <c r="T269" i="2"/>
  <c r="V269" i="2" s="1"/>
  <c r="S269" i="2"/>
  <c r="P269" i="2"/>
  <c r="L269" i="2"/>
  <c r="H269" i="2"/>
  <c r="D269" i="2"/>
  <c r="V268" i="2"/>
  <c r="M268" i="2" s="1"/>
  <c r="U268" i="2"/>
  <c r="T268" i="2"/>
  <c r="S268" i="2"/>
  <c r="P268" i="2"/>
  <c r="L268" i="2"/>
  <c r="I268" i="2"/>
  <c r="H268" i="2"/>
  <c r="E268" i="2"/>
  <c r="D268" i="2"/>
  <c r="V267" i="2"/>
  <c r="U267" i="2"/>
  <c r="T267" i="2"/>
  <c r="S267" i="2"/>
  <c r="P267" i="2"/>
  <c r="L267" i="2"/>
  <c r="H267" i="2"/>
  <c r="D267" i="2"/>
  <c r="U266" i="2"/>
  <c r="T266" i="2"/>
  <c r="V266" i="2" s="1"/>
  <c r="S266" i="2"/>
  <c r="P266" i="2"/>
  <c r="L266" i="2"/>
  <c r="H266" i="2"/>
  <c r="D266" i="2"/>
  <c r="V265" i="2"/>
  <c r="M265" i="2" s="1"/>
  <c r="U265" i="2"/>
  <c r="T265" i="2"/>
  <c r="S265" i="2"/>
  <c r="P265" i="2"/>
  <c r="L265" i="2"/>
  <c r="I265" i="2"/>
  <c r="H265" i="2"/>
  <c r="E265" i="2"/>
  <c r="D265" i="2"/>
  <c r="V264" i="2"/>
  <c r="U264" i="2"/>
  <c r="T264" i="2"/>
  <c r="S264" i="2"/>
  <c r="P264" i="2"/>
  <c r="L264" i="2"/>
  <c r="H264" i="2"/>
  <c r="D264" i="2"/>
  <c r="V263" i="2"/>
  <c r="U263" i="2"/>
  <c r="T263" i="2"/>
  <c r="S263" i="2"/>
  <c r="P263" i="2"/>
  <c r="L263" i="2"/>
  <c r="H263" i="2"/>
  <c r="D263" i="2"/>
  <c r="V262" i="2"/>
  <c r="U262" i="2"/>
  <c r="T262" i="2"/>
  <c r="S262" i="2"/>
  <c r="P262" i="2"/>
  <c r="L262" i="2"/>
  <c r="H262" i="2"/>
  <c r="D262" i="2"/>
  <c r="U261" i="2"/>
  <c r="T261" i="2"/>
  <c r="V261" i="2" s="1"/>
  <c r="S261" i="2"/>
  <c r="P261" i="2"/>
  <c r="L261" i="2"/>
  <c r="I261" i="2"/>
  <c r="H261" i="2"/>
  <c r="D261" i="2"/>
  <c r="U260" i="2"/>
  <c r="T260" i="2"/>
  <c r="S260" i="2"/>
  <c r="P260" i="2"/>
  <c r="L260" i="2"/>
  <c r="H260" i="2"/>
  <c r="D260" i="2"/>
  <c r="V259" i="2"/>
  <c r="U259" i="2"/>
  <c r="T259" i="2"/>
  <c r="S259" i="2"/>
  <c r="P259" i="2"/>
  <c r="L259" i="2"/>
  <c r="H259" i="2"/>
  <c r="D259" i="2"/>
  <c r="V258" i="2"/>
  <c r="U258" i="2"/>
  <c r="T258" i="2"/>
  <c r="S258" i="2"/>
  <c r="P258" i="2"/>
  <c r="M258" i="2"/>
  <c r="L258" i="2"/>
  <c r="I258" i="2"/>
  <c r="H258" i="2"/>
  <c r="D258" i="2"/>
  <c r="E258" i="2" s="1"/>
  <c r="U257" i="2"/>
  <c r="T257" i="2"/>
  <c r="S257" i="2"/>
  <c r="P257" i="2"/>
  <c r="L257" i="2"/>
  <c r="H257" i="2"/>
  <c r="D257" i="2"/>
  <c r="U256" i="2"/>
  <c r="T256" i="2"/>
  <c r="V256" i="2" s="1"/>
  <c r="S256" i="2"/>
  <c r="P256" i="2"/>
  <c r="L256" i="2"/>
  <c r="H256" i="2"/>
  <c r="D256" i="2"/>
  <c r="U255" i="2"/>
  <c r="V255" i="2" s="1"/>
  <c r="M255" i="2" s="1"/>
  <c r="T255" i="2"/>
  <c r="S255" i="2"/>
  <c r="P255" i="2"/>
  <c r="L255" i="2"/>
  <c r="H255" i="2"/>
  <c r="D255" i="2"/>
  <c r="U254" i="2"/>
  <c r="T254" i="2"/>
  <c r="V254" i="2" s="1"/>
  <c r="E254" i="2" s="1"/>
  <c r="S254" i="2"/>
  <c r="P254" i="2"/>
  <c r="L254" i="2"/>
  <c r="M254" i="2" s="1"/>
  <c r="I254" i="2"/>
  <c r="H254" i="2"/>
  <c r="D254" i="2"/>
  <c r="V251" i="2"/>
  <c r="M251" i="2" s="1"/>
  <c r="U251" i="2"/>
  <c r="T251" i="2"/>
  <c r="S251" i="2"/>
  <c r="P251" i="2"/>
  <c r="L251" i="2"/>
  <c r="H251" i="2"/>
  <c r="I251" i="2" s="1"/>
  <c r="D251" i="2"/>
  <c r="U250" i="2"/>
  <c r="T250" i="2"/>
  <c r="S250" i="2"/>
  <c r="P250" i="2"/>
  <c r="L250" i="2"/>
  <c r="H250" i="2"/>
  <c r="D250" i="2"/>
  <c r="U249" i="2"/>
  <c r="T249" i="2"/>
  <c r="V249" i="2" s="1"/>
  <c r="S249" i="2"/>
  <c r="P249" i="2"/>
  <c r="L249" i="2"/>
  <c r="H249" i="2"/>
  <c r="D249" i="2"/>
  <c r="V248" i="2"/>
  <c r="U248" i="2"/>
  <c r="T248" i="2"/>
  <c r="S248" i="2"/>
  <c r="P248" i="2"/>
  <c r="M248" i="2"/>
  <c r="L248" i="2"/>
  <c r="H248" i="2"/>
  <c r="D248" i="2"/>
  <c r="V247" i="2"/>
  <c r="M247" i="2" s="1"/>
  <c r="U247" i="2"/>
  <c r="T247" i="2"/>
  <c r="S247" i="2"/>
  <c r="P247" i="2"/>
  <c r="L247" i="2"/>
  <c r="I247" i="2"/>
  <c r="H247" i="2"/>
  <c r="E247" i="2"/>
  <c r="D247" i="2"/>
  <c r="U246" i="2"/>
  <c r="T246" i="2"/>
  <c r="S246" i="2"/>
  <c r="P246" i="2"/>
  <c r="L246" i="2"/>
  <c r="H246" i="2"/>
  <c r="D246" i="2"/>
  <c r="V245" i="2"/>
  <c r="U245" i="2"/>
  <c r="T245" i="2"/>
  <c r="S245" i="2"/>
  <c r="P245" i="2"/>
  <c r="L245" i="2"/>
  <c r="H245" i="2"/>
  <c r="D245" i="2"/>
  <c r="V244" i="2"/>
  <c r="U244" i="2"/>
  <c r="T244" i="2"/>
  <c r="S244" i="2"/>
  <c r="P244" i="2"/>
  <c r="L244" i="2"/>
  <c r="H244" i="2"/>
  <c r="E244" i="2"/>
  <c r="D244" i="2"/>
  <c r="U243" i="2"/>
  <c r="T243" i="2"/>
  <c r="V243" i="2" s="1"/>
  <c r="S243" i="2"/>
  <c r="P243" i="2"/>
  <c r="L243" i="2"/>
  <c r="I243" i="2"/>
  <c r="H243" i="2"/>
  <c r="D243" i="2"/>
  <c r="V242" i="2"/>
  <c r="U242" i="2"/>
  <c r="T242" i="2"/>
  <c r="S242" i="2"/>
  <c r="P242" i="2"/>
  <c r="L242" i="2"/>
  <c r="H242" i="2"/>
  <c r="D242" i="2"/>
  <c r="U241" i="2"/>
  <c r="V241" i="2" s="1"/>
  <c r="T241" i="2"/>
  <c r="S241" i="2"/>
  <c r="P241" i="2"/>
  <c r="L241" i="2"/>
  <c r="H241" i="2"/>
  <c r="D241" i="2"/>
  <c r="U240" i="2"/>
  <c r="T240" i="2"/>
  <c r="S240" i="2"/>
  <c r="P240" i="2"/>
  <c r="L240" i="2"/>
  <c r="H240" i="2"/>
  <c r="D240" i="2"/>
  <c r="U239" i="2"/>
  <c r="T239" i="2"/>
  <c r="V239" i="2" s="1"/>
  <c r="S239" i="2"/>
  <c r="P239" i="2"/>
  <c r="L239" i="2"/>
  <c r="H239" i="2"/>
  <c r="D239" i="2"/>
  <c r="U238" i="2"/>
  <c r="V238" i="2" s="1"/>
  <c r="T238" i="2"/>
  <c r="S238" i="2"/>
  <c r="P238" i="2"/>
  <c r="L238" i="2"/>
  <c r="H238" i="2"/>
  <c r="D238" i="2"/>
  <c r="U237" i="2"/>
  <c r="V237" i="2" s="1"/>
  <c r="T237" i="2"/>
  <c r="S237" i="2"/>
  <c r="P237" i="2"/>
  <c r="L237" i="2"/>
  <c r="H237" i="2"/>
  <c r="D237" i="2"/>
  <c r="U236" i="2"/>
  <c r="T236" i="2"/>
  <c r="S236" i="2"/>
  <c r="P236" i="2"/>
  <c r="L236" i="2"/>
  <c r="H236" i="2"/>
  <c r="D236" i="2"/>
  <c r="U235" i="2"/>
  <c r="T235" i="2"/>
  <c r="V235" i="2" s="1"/>
  <c r="S235" i="2"/>
  <c r="P235" i="2"/>
  <c r="L235" i="2"/>
  <c r="H235" i="2"/>
  <c r="D235" i="2"/>
  <c r="U234" i="2"/>
  <c r="V234" i="2" s="1"/>
  <c r="T234" i="2"/>
  <c r="S234" i="2"/>
  <c r="P234" i="2"/>
  <c r="L234" i="2"/>
  <c r="H234" i="2"/>
  <c r="D234" i="2"/>
  <c r="U233" i="2"/>
  <c r="T233" i="2"/>
  <c r="S233" i="2"/>
  <c r="P233" i="2"/>
  <c r="L233" i="2"/>
  <c r="H233" i="2"/>
  <c r="D233" i="2"/>
  <c r="U232" i="2"/>
  <c r="T232" i="2"/>
  <c r="S232" i="2"/>
  <c r="P232" i="2"/>
  <c r="L232" i="2"/>
  <c r="H232" i="2"/>
  <c r="D232" i="2"/>
  <c r="U231" i="2"/>
  <c r="T231" i="2"/>
  <c r="S231" i="2"/>
  <c r="P231" i="2"/>
  <c r="L231" i="2"/>
  <c r="H231" i="2"/>
  <c r="D231" i="2"/>
  <c r="U230" i="2"/>
  <c r="T230" i="2"/>
  <c r="V230" i="2" s="1"/>
  <c r="M230" i="2" s="1"/>
  <c r="S230" i="2"/>
  <c r="P230" i="2"/>
  <c r="L230" i="2"/>
  <c r="I230" i="2"/>
  <c r="H230" i="2"/>
  <c r="D230" i="2"/>
  <c r="U229" i="2"/>
  <c r="T229" i="2"/>
  <c r="S229" i="2"/>
  <c r="P229" i="2"/>
  <c r="L229" i="2"/>
  <c r="H229" i="2"/>
  <c r="D229" i="2"/>
  <c r="V228" i="2"/>
  <c r="U228" i="2"/>
  <c r="T228" i="2"/>
  <c r="S228" i="2"/>
  <c r="P228" i="2"/>
  <c r="L228" i="2"/>
  <c r="M228" i="2" s="1"/>
  <c r="H228" i="2"/>
  <c r="I228" i="2" s="1"/>
  <c r="D228" i="2"/>
  <c r="U227" i="2"/>
  <c r="V227" i="2" s="1"/>
  <c r="T227" i="2"/>
  <c r="S227" i="2"/>
  <c r="P227" i="2"/>
  <c r="L227" i="2"/>
  <c r="M227" i="2" s="1"/>
  <c r="H227" i="2"/>
  <c r="D227" i="2"/>
  <c r="U226" i="2"/>
  <c r="T226" i="2"/>
  <c r="V226" i="2" s="1"/>
  <c r="S226" i="2"/>
  <c r="P226" i="2"/>
  <c r="L226" i="2"/>
  <c r="H226" i="2"/>
  <c r="E226" i="2"/>
  <c r="D226" i="2"/>
  <c r="V225" i="2"/>
  <c r="M225" i="2" s="1"/>
  <c r="U225" i="2"/>
  <c r="T225" i="2"/>
  <c r="S225" i="2"/>
  <c r="P225" i="2"/>
  <c r="L225" i="2"/>
  <c r="H225" i="2"/>
  <c r="D225" i="2"/>
  <c r="V224" i="2"/>
  <c r="U224" i="2"/>
  <c r="T224" i="2"/>
  <c r="S224" i="2"/>
  <c r="P224" i="2"/>
  <c r="L224" i="2"/>
  <c r="H224" i="2"/>
  <c r="D224" i="2"/>
  <c r="U223" i="2"/>
  <c r="T223" i="2"/>
  <c r="S223" i="2"/>
  <c r="P223" i="2"/>
  <c r="L223" i="2"/>
  <c r="H223" i="2"/>
  <c r="D223" i="2"/>
  <c r="V222" i="2"/>
  <c r="U222" i="2"/>
  <c r="T222" i="2"/>
  <c r="S222" i="2"/>
  <c r="P222" i="2"/>
  <c r="L222" i="2"/>
  <c r="H222" i="2"/>
  <c r="D222" i="2"/>
  <c r="U221" i="2"/>
  <c r="T221" i="2"/>
  <c r="S221" i="2"/>
  <c r="P221" i="2"/>
  <c r="L221" i="2"/>
  <c r="H221" i="2"/>
  <c r="D221" i="2"/>
  <c r="U220" i="2"/>
  <c r="T220" i="2"/>
  <c r="V220" i="2" s="1"/>
  <c r="S220" i="2"/>
  <c r="P220" i="2"/>
  <c r="L220" i="2"/>
  <c r="H220" i="2"/>
  <c r="I220" i="2" s="1"/>
  <c r="D220" i="2"/>
  <c r="U219" i="2"/>
  <c r="V219" i="2" s="1"/>
  <c r="T219" i="2"/>
  <c r="S219" i="2"/>
  <c r="P219" i="2"/>
  <c r="M219" i="2"/>
  <c r="L219" i="2"/>
  <c r="H219" i="2"/>
  <c r="E219" i="2"/>
  <c r="D219" i="2"/>
  <c r="U218" i="2"/>
  <c r="T218" i="2"/>
  <c r="V218" i="2" s="1"/>
  <c r="S218" i="2"/>
  <c r="P218" i="2"/>
  <c r="L218" i="2"/>
  <c r="H218" i="2"/>
  <c r="D218" i="2"/>
  <c r="U217" i="2"/>
  <c r="T217" i="2"/>
  <c r="S217" i="2"/>
  <c r="P217" i="2"/>
  <c r="L217" i="2"/>
  <c r="H217" i="2"/>
  <c r="D217" i="2"/>
  <c r="U216" i="2"/>
  <c r="T216" i="2"/>
  <c r="V216" i="2" s="1"/>
  <c r="S216" i="2"/>
  <c r="P216" i="2"/>
  <c r="M216" i="2"/>
  <c r="L216" i="2"/>
  <c r="H216" i="2"/>
  <c r="D216" i="2"/>
  <c r="V215" i="2"/>
  <c r="E215" i="2" s="1"/>
  <c r="U215" i="2"/>
  <c r="T215" i="2"/>
  <c r="S215" i="2"/>
  <c r="P215" i="2"/>
  <c r="M215" i="2"/>
  <c r="L215" i="2"/>
  <c r="I215" i="2"/>
  <c r="H215" i="2"/>
  <c r="D215" i="2"/>
  <c r="U214" i="2"/>
  <c r="T214" i="2"/>
  <c r="V214" i="2" s="1"/>
  <c r="S214" i="2"/>
  <c r="P214" i="2"/>
  <c r="L214" i="2"/>
  <c r="H214" i="2"/>
  <c r="D214" i="2"/>
  <c r="U213" i="2"/>
  <c r="T213" i="2"/>
  <c r="V213" i="2" s="1"/>
  <c r="S213" i="2"/>
  <c r="P213" i="2"/>
  <c r="L213" i="2"/>
  <c r="H213" i="2"/>
  <c r="D213" i="2"/>
  <c r="U212" i="2"/>
  <c r="V212" i="2" s="1"/>
  <c r="T212" i="2"/>
  <c r="S212" i="2"/>
  <c r="P212" i="2"/>
  <c r="L212" i="2"/>
  <c r="I212" i="2"/>
  <c r="H212" i="2"/>
  <c r="D212" i="2"/>
  <c r="V211" i="2"/>
  <c r="E211" i="2" s="1"/>
  <c r="U211" i="2"/>
  <c r="T211" i="2"/>
  <c r="S211" i="2"/>
  <c r="P211" i="2"/>
  <c r="M211" i="2"/>
  <c r="L211" i="2"/>
  <c r="I211" i="2"/>
  <c r="H211" i="2"/>
  <c r="D211" i="2"/>
  <c r="U210" i="2"/>
  <c r="V210" i="2" s="1"/>
  <c r="M210" i="2" s="1"/>
  <c r="T210" i="2"/>
  <c r="S210" i="2"/>
  <c r="P210" i="2"/>
  <c r="L210" i="2"/>
  <c r="H210" i="2"/>
  <c r="D210" i="2"/>
  <c r="U207" i="2"/>
  <c r="T207" i="2"/>
  <c r="S207" i="2"/>
  <c r="P207" i="2"/>
  <c r="L207" i="2"/>
  <c r="H207" i="2"/>
  <c r="D207" i="2"/>
  <c r="U206" i="2"/>
  <c r="T206" i="2"/>
  <c r="V206" i="2" s="1"/>
  <c r="S206" i="2"/>
  <c r="P206" i="2"/>
  <c r="L206" i="2"/>
  <c r="I206" i="2"/>
  <c r="H206" i="2"/>
  <c r="D206" i="2"/>
  <c r="V205" i="2"/>
  <c r="U205" i="2"/>
  <c r="T205" i="2"/>
  <c r="S205" i="2"/>
  <c r="P205" i="2"/>
  <c r="L205" i="2"/>
  <c r="H205" i="2"/>
  <c r="D205" i="2"/>
  <c r="U204" i="2"/>
  <c r="V204" i="2" s="1"/>
  <c r="T204" i="2"/>
  <c r="S204" i="2"/>
  <c r="P204" i="2"/>
  <c r="L204" i="2"/>
  <c r="H204" i="2"/>
  <c r="D204" i="2"/>
  <c r="U203" i="2"/>
  <c r="T203" i="2"/>
  <c r="V203" i="2" s="1"/>
  <c r="S203" i="2"/>
  <c r="P203" i="2"/>
  <c r="L203" i="2"/>
  <c r="I203" i="2"/>
  <c r="H203" i="2"/>
  <c r="D203" i="2"/>
  <c r="V202" i="2"/>
  <c r="U202" i="2"/>
  <c r="T202" i="2"/>
  <c r="S202" i="2"/>
  <c r="P202" i="2"/>
  <c r="M202" i="2"/>
  <c r="L202" i="2"/>
  <c r="H202" i="2"/>
  <c r="D202" i="2"/>
  <c r="E202" i="2" s="1"/>
  <c r="U201" i="2"/>
  <c r="V201" i="2" s="1"/>
  <c r="T201" i="2"/>
  <c r="S201" i="2"/>
  <c r="P201" i="2"/>
  <c r="L201" i="2"/>
  <c r="M201" i="2" s="1"/>
  <c r="I201" i="2"/>
  <c r="H201" i="2"/>
  <c r="D201" i="2"/>
  <c r="U200" i="2"/>
  <c r="T200" i="2"/>
  <c r="V200" i="2" s="1"/>
  <c r="S200" i="2"/>
  <c r="P200" i="2"/>
  <c r="L200" i="2"/>
  <c r="H200" i="2"/>
  <c r="D200" i="2"/>
  <c r="U199" i="2"/>
  <c r="V199" i="2" s="1"/>
  <c r="T199" i="2"/>
  <c r="S199" i="2"/>
  <c r="P199" i="2"/>
  <c r="L199" i="2"/>
  <c r="H199" i="2"/>
  <c r="E199" i="2"/>
  <c r="D199" i="2"/>
  <c r="U198" i="2"/>
  <c r="T198" i="2"/>
  <c r="V198" i="2" s="1"/>
  <c r="S198" i="2"/>
  <c r="P198" i="2"/>
  <c r="L198" i="2"/>
  <c r="H198" i="2"/>
  <c r="E198" i="2"/>
  <c r="D198" i="2"/>
  <c r="U197" i="2"/>
  <c r="T197" i="2"/>
  <c r="V197" i="2" s="1"/>
  <c r="S197" i="2"/>
  <c r="P197" i="2"/>
  <c r="L197" i="2"/>
  <c r="H197" i="2"/>
  <c r="D197" i="2"/>
  <c r="U196" i="2"/>
  <c r="V196" i="2" s="1"/>
  <c r="T196" i="2"/>
  <c r="S196" i="2"/>
  <c r="P196" i="2"/>
  <c r="L196" i="2"/>
  <c r="H196" i="2"/>
  <c r="D196" i="2"/>
  <c r="U195" i="2"/>
  <c r="T195" i="2"/>
  <c r="S195" i="2"/>
  <c r="P195" i="2"/>
  <c r="L195" i="2"/>
  <c r="H195" i="2"/>
  <c r="D195" i="2"/>
  <c r="U194" i="2"/>
  <c r="T194" i="2"/>
  <c r="V194" i="2" s="1"/>
  <c r="S194" i="2"/>
  <c r="P194" i="2"/>
  <c r="L194" i="2"/>
  <c r="I194" i="2"/>
  <c r="H194" i="2"/>
  <c r="D194" i="2"/>
  <c r="U191" i="2"/>
  <c r="T191" i="2"/>
  <c r="V191" i="2" s="1"/>
  <c r="S191" i="2"/>
  <c r="P191" i="2"/>
  <c r="L191" i="2"/>
  <c r="H191" i="2"/>
  <c r="D191" i="2"/>
  <c r="U190" i="2"/>
  <c r="T190" i="2"/>
  <c r="S190" i="2"/>
  <c r="P190" i="2"/>
  <c r="L190" i="2"/>
  <c r="H190" i="2"/>
  <c r="D190" i="2"/>
  <c r="U189" i="2"/>
  <c r="T189" i="2"/>
  <c r="S189" i="2"/>
  <c r="P189" i="2"/>
  <c r="L189" i="2"/>
  <c r="H189" i="2"/>
  <c r="D189" i="2"/>
  <c r="V188" i="2"/>
  <c r="U188" i="2"/>
  <c r="T188" i="2"/>
  <c r="S188" i="2"/>
  <c r="P188" i="2"/>
  <c r="L188" i="2"/>
  <c r="H188" i="2"/>
  <c r="D188" i="2"/>
  <c r="U187" i="2"/>
  <c r="V187" i="2" s="1"/>
  <c r="T187" i="2"/>
  <c r="S187" i="2"/>
  <c r="P187" i="2"/>
  <c r="L187" i="2"/>
  <c r="H187" i="2"/>
  <c r="D187" i="2"/>
  <c r="U186" i="2"/>
  <c r="T186" i="2"/>
  <c r="V186" i="2" s="1"/>
  <c r="S186" i="2"/>
  <c r="P186" i="2"/>
  <c r="L186" i="2"/>
  <c r="I186" i="2"/>
  <c r="H186" i="2"/>
  <c r="D186" i="2"/>
  <c r="V185" i="2"/>
  <c r="E185" i="2" s="1"/>
  <c r="U185" i="2"/>
  <c r="T185" i="2"/>
  <c r="S185" i="2"/>
  <c r="P185" i="2"/>
  <c r="L185" i="2"/>
  <c r="H185" i="2"/>
  <c r="D185" i="2"/>
  <c r="U184" i="2"/>
  <c r="T184" i="2"/>
  <c r="V184" i="2" s="1"/>
  <c r="S184" i="2"/>
  <c r="P184" i="2"/>
  <c r="L184" i="2"/>
  <c r="H184" i="2"/>
  <c r="D184" i="2"/>
  <c r="U183" i="2"/>
  <c r="T183" i="2"/>
  <c r="V183" i="2" s="1"/>
  <c r="S183" i="2"/>
  <c r="P183" i="2"/>
  <c r="L183" i="2"/>
  <c r="H183" i="2"/>
  <c r="D183" i="2"/>
  <c r="V182" i="2"/>
  <c r="U182" i="2"/>
  <c r="T182" i="2"/>
  <c r="S182" i="2"/>
  <c r="P182" i="2"/>
  <c r="L182" i="2"/>
  <c r="H182" i="2"/>
  <c r="D182" i="2"/>
  <c r="U181" i="2"/>
  <c r="T181" i="2"/>
  <c r="V181" i="2" s="1"/>
  <c r="S181" i="2"/>
  <c r="P181" i="2"/>
  <c r="L181" i="2"/>
  <c r="H181" i="2"/>
  <c r="D181" i="2"/>
  <c r="V180" i="2"/>
  <c r="U180" i="2"/>
  <c r="T180" i="2"/>
  <c r="S180" i="2"/>
  <c r="P180" i="2"/>
  <c r="M180" i="2"/>
  <c r="L180" i="2"/>
  <c r="H180" i="2"/>
  <c r="D180" i="2"/>
  <c r="V179" i="2"/>
  <c r="U179" i="2"/>
  <c r="T179" i="2"/>
  <c r="S179" i="2"/>
  <c r="P179" i="2"/>
  <c r="L179" i="2"/>
  <c r="I179" i="2"/>
  <c r="H179" i="2"/>
  <c r="D179" i="2"/>
  <c r="U178" i="2"/>
  <c r="T178" i="2"/>
  <c r="S178" i="2"/>
  <c r="P178" i="2"/>
  <c r="L178" i="2"/>
  <c r="H178" i="2"/>
  <c r="D178" i="2"/>
  <c r="U175" i="2"/>
  <c r="T175" i="2"/>
  <c r="S175" i="2"/>
  <c r="P175" i="2"/>
  <c r="L175" i="2"/>
  <c r="H175" i="2"/>
  <c r="D175" i="2"/>
  <c r="U174" i="2"/>
  <c r="T174" i="2"/>
  <c r="V174" i="2" s="1"/>
  <c r="S174" i="2"/>
  <c r="P174" i="2"/>
  <c r="M174" i="2"/>
  <c r="L174" i="2"/>
  <c r="H174" i="2"/>
  <c r="D174" i="2"/>
  <c r="U173" i="2"/>
  <c r="V173" i="2" s="1"/>
  <c r="T173" i="2"/>
  <c r="S173" i="2"/>
  <c r="P173" i="2"/>
  <c r="L173" i="2"/>
  <c r="H173" i="2"/>
  <c r="D173" i="2"/>
  <c r="V172" i="2"/>
  <c r="U172" i="2"/>
  <c r="T172" i="2"/>
  <c r="S172" i="2"/>
  <c r="P172" i="2"/>
  <c r="L172" i="2"/>
  <c r="H172" i="2"/>
  <c r="D172" i="2"/>
  <c r="V171" i="2"/>
  <c r="E171" i="2" s="1"/>
  <c r="U171" i="2"/>
  <c r="T171" i="2"/>
  <c r="S171" i="2"/>
  <c r="P171" i="2"/>
  <c r="L171" i="2"/>
  <c r="I171" i="2"/>
  <c r="H171" i="2"/>
  <c r="D171" i="2"/>
  <c r="V170" i="2"/>
  <c r="M170" i="2" s="1"/>
  <c r="U170" i="2"/>
  <c r="T170" i="2"/>
  <c r="S170" i="2"/>
  <c r="P170" i="2"/>
  <c r="L170" i="2"/>
  <c r="I170" i="2"/>
  <c r="H170" i="2"/>
  <c r="E170" i="2"/>
  <c r="D170" i="2"/>
  <c r="U169" i="2"/>
  <c r="T169" i="2"/>
  <c r="V169" i="2" s="1"/>
  <c r="S169" i="2"/>
  <c r="P169" i="2"/>
  <c r="L169" i="2"/>
  <c r="H169" i="2"/>
  <c r="I169" i="2" s="1"/>
  <c r="D169" i="2"/>
  <c r="U168" i="2"/>
  <c r="V168" i="2" s="1"/>
  <c r="T168" i="2"/>
  <c r="S168" i="2"/>
  <c r="P168" i="2"/>
  <c r="L168" i="2"/>
  <c r="H168" i="2"/>
  <c r="D168" i="2"/>
  <c r="U167" i="2"/>
  <c r="T167" i="2"/>
  <c r="V167" i="2" s="1"/>
  <c r="S167" i="2"/>
  <c r="P167" i="2"/>
  <c r="L167" i="2"/>
  <c r="H167" i="2"/>
  <c r="D167" i="2"/>
  <c r="V166" i="2"/>
  <c r="U166" i="2"/>
  <c r="T166" i="2"/>
  <c r="S166" i="2"/>
  <c r="P166" i="2"/>
  <c r="L166" i="2"/>
  <c r="H166" i="2"/>
  <c r="D166" i="2"/>
  <c r="V165" i="2"/>
  <c r="U165" i="2"/>
  <c r="T165" i="2"/>
  <c r="S165" i="2"/>
  <c r="P165" i="2"/>
  <c r="M165" i="2"/>
  <c r="L165" i="2"/>
  <c r="H165" i="2"/>
  <c r="D165" i="2"/>
  <c r="U164" i="2"/>
  <c r="T164" i="2"/>
  <c r="V164" i="2" s="1"/>
  <c r="I164" i="2" s="1"/>
  <c r="S164" i="2"/>
  <c r="P164" i="2"/>
  <c r="M164" i="2"/>
  <c r="L164" i="2"/>
  <c r="H164" i="2"/>
  <c r="E164" i="2"/>
  <c r="D164" i="2"/>
  <c r="U163" i="2"/>
  <c r="T163" i="2"/>
  <c r="V163" i="2" s="1"/>
  <c r="M163" i="2" s="1"/>
  <c r="S163" i="2"/>
  <c r="P163" i="2"/>
  <c r="L163" i="2"/>
  <c r="I163" i="2"/>
  <c r="H163" i="2"/>
  <c r="E163" i="2"/>
  <c r="D163" i="2"/>
  <c r="V162" i="2"/>
  <c r="U162" i="2"/>
  <c r="T162" i="2"/>
  <c r="S162" i="2"/>
  <c r="P162" i="2"/>
  <c r="L162" i="2"/>
  <c r="H162" i="2"/>
  <c r="D162" i="2"/>
  <c r="E162" i="2" s="1"/>
  <c r="U161" i="2"/>
  <c r="V161" i="2" s="1"/>
  <c r="T161" i="2"/>
  <c r="S161" i="2"/>
  <c r="P161" i="2"/>
  <c r="L161" i="2"/>
  <c r="H161" i="2"/>
  <c r="D161" i="2"/>
  <c r="U160" i="2"/>
  <c r="T160" i="2"/>
  <c r="V160" i="2" s="1"/>
  <c r="S160" i="2"/>
  <c r="P160" i="2"/>
  <c r="L160" i="2"/>
  <c r="H160" i="2"/>
  <c r="D160" i="2"/>
  <c r="V159" i="2"/>
  <c r="E159" i="2" s="1"/>
  <c r="U159" i="2"/>
  <c r="T159" i="2"/>
  <c r="S159" i="2"/>
  <c r="P159" i="2"/>
  <c r="M159" i="2"/>
  <c r="L159" i="2"/>
  <c r="I159" i="2"/>
  <c r="H159" i="2"/>
  <c r="D159" i="2"/>
  <c r="V158" i="2"/>
  <c r="E158" i="2" s="1"/>
  <c r="U158" i="2"/>
  <c r="T158" i="2"/>
  <c r="S158" i="2"/>
  <c r="P158" i="2"/>
  <c r="L158" i="2"/>
  <c r="H158" i="2"/>
  <c r="D158" i="2"/>
  <c r="U157" i="2"/>
  <c r="T157" i="2"/>
  <c r="V157" i="2" s="1"/>
  <c r="E157" i="2" s="1"/>
  <c r="S157" i="2"/>
  <c r="P157" i="2"/>
  <c r="L157" i="2"/>
  <c r="H157" i="2"/>
  <c r="D157" i="2"/>
  <c r="V156" i="2"/>
  <c r="U156" i="2"/>
  <c r="T156" i="2"/>
  <c r="S156" i="2"/>
  <c r="P156" i="2"/>
  <c r="M156" i="2"/>
  <c r="L156" i="2"/>
  <c r="H156" i="2"/>
  <c r="D156" i="2"/>
  <c r="U155" i="2"/>
  <c r="T155" i="2"/>
  <c r="V155" i="2" s="1"/>
  <c r="S155" i="2"/>
  <c r="P155" i="2"/>
  <c r="L155" i="2"/>
  <c r="H155" i="2"/>
  <c r="D155" i="2"/>
  <c r="U154" i="2"/>
  <c r="V154" i="2" s="1"/>
  <c r="T154" i="2"/>
  <c r="S154" i="2"/>
  <c r="P154" i="2"/>
  <c r="L154" i="2"/>
  <c r="H154" i="2"/>
  <c r="D154" i="2"/>
  <c r="U153" i="2"/>
  <c r="T153" i="2"/>
  <c r="S153" i="2"/>
  <c r="P153" i="2"/>
  <c r="L153" i="2"/>
  <c r="H153" i="2"/>
  <c r="D153" i="2"/>
  <c r="U152" i="2"/>
  <c r="T152" i="2"/>
  <c r="V152" i="2" s="1"/>
  <c r="S152" i="2"/>
  <c r="P152" i="2"/>
  <c r="L152" i="2"/>
  <c r="H152" i="2"/>
  <c r="D152" i="2"/>
  <c r="U151" i="2"/>
  <c r="T151" i="2"/>
  <c r="S151" i="2"/>
  <c r="P151" i="2"/>
  <c r="L151" i="2"/>
  <c r="H151" i="2"/>
  <c r="D151" i="2"/>
  <c r="U150" i="2"/>
  <c r="T150" i="2"/>
  <c r="V150" i="2" s="1"/>
  <c r="S150" i="2"/>
  <c r="P150" i="2"/>
  <c r="M150" i="2"/>
  <c r="L150" i="2"/>
  <c r="H150" i="2"/>
  <c r="D150" i="2"/>
  <c r="U149" i="2"/>
  <c r="V149" i="2" s="1"/>
  <c r="M149" i="2" s="1"/>
  <c r="T149" i="2"/>
  <c r="S149" i="2"/>
  <c r="P149" i="2"/>
  <c r="L149" i="2"/>
  <c r="H149" i="2"/>
  <c r="D149" i="2"/>
  <c r="U148" i="2"/>
  <c r="T148" i="2"/>
  <c r="V148" i="2" s="1"/>
  <c r="S148" i="2"/>
  <c r="P148" i="2"/>
  <c r="L148" i="2"/>
  <c r="H148" i="2"/>
  <c r="D148" i="2"/>
  <c r="U147" i="2"/>
  <c r="V147" i="2" s="1"/>
  <c r="I147" i="2" s="1"/>
  <c r="T147" i="2"/>
  <c r="S147" i="2"/>
  <c r="P147" i="2"/>
  <c r="M147" i="2"/>
  <c r="L147" i="2"/>
  <c r="H147" i="2"/>
  <c r="E147" i="2"/>
  <c r="D147" i="2"/>
  <c r="U146" i="2"/>
  <c r="T146" i="2"/>
  <c r="S146" i="2"/>
  <c r="P146" i="2"/>
  <c r="L146" i="2"/>
  <c r="H146" i="2"/>
  <c r="D146" i="2"/>
  <c r="U145" i="2"/>
  <c r="V145" i="2" s="1"/>
  <c r="T145" i="2"/>
  <c r="S145" i="2"/>
  <c r="P145" i="2"/>
  <c r="L145" i="2"/>
  <c r="H145" i="2"/>
  <c r="D145" i="2"/>
  <c r="U144" i="2"/>
  <c r="T144" i="2"/>
  <c r="S144" i="2"/>
  <c r="P144" i="2"/>
  <c r="L144" i="2"/>
  <c r="H144" i="2"/>
  <c r="D144" i="2"/>
  <c r="U143" i="2"/>
  <c r="T143" i="2"/>
  <c r="S143" i="2"/>
  <c r="P143" i="2"/>
  <c r="L143" i="2"/>
  <c r="H143" i="2"/>
  <c r="D143" i="2"/>
  <c r="V142" i="2"/>
  <c r="U142" i="2"/>
  <c r="T142" i="2"/>
  <c r="S142" i="2"/>
  <c r="P142" i="2"/>
  <c r="L142" i="2"/>
  <c r="H142" i="2"/>
  <c r="D142" i="2"/>
  <c r="V141" i="2"/>
  <c r="I141" i="2" s="1"/>
  <c r="U141" i="2"/>
  <c r="T141" i="2"/>
  <c r="S141" i="2"/>
  <c r="P141" i="2"/>
  <c r="L141" i="2"/>
  <c r="H141" i="2"/>
  <c r="D141" i="2"/>
  <c r="U140" i="2"/>
  <c r="T140" i="2"/>
  <c r="V140" i="2" s="1"/>
  <c r="S140" i="2"/>
  <c r="P140" i="2"/>
  <c r="L140" i="2"/>
  <c r="H140" i="2"/>
  <c r="E140" i="2"/>
  <c r="D140" i="2"/>
  <c r="U139" i="2"/>
  <c r="T139" i="2"/>
  <c r="S139" i="2"/>
  <c r="P139" i="2"/>
  <c r="L139" i="2"/>
  <c r="H139" i="2"/>
  <c r="D139" i="2"/>
  <c r="V136" i="2"/>
  <c r="U136" i="2"/>
  <c r="T136" i="2"/>
  <c r="S136" i="2"/>
  <c r="P136" i="2"/>
  <c r="L136" i="2"/>
  <c r="H136" i="2"/>
  <c r="D136" i="2"/>
  <c r="V135" i="2"/>
  <c r="U135" i="2"/>
  <c r="T135" i="2"/>
  <c r="S135" i="2"/>
  <c r="P135" i="2"/>
  <c r="M135" i="2"/>
  <c r="L135" i="2"/>
  <c r="I135" i="2"/>
  <c r="H135" i="2"/>
  <c r="E135" i="2"/>
  <c r="D135" i="2"/>
  <c r="V134" i="2"/>
  <c r="U134" i="2"/>
  <c r="T134" i="2"/>
  <c r="S134" i="2"/>
  <c r="P134" i="2"/>
  <c r="L134" i="2"/>
  <c r="I134" i="2"/>
  <c r="H134" i="2"/>
  <c r="D134" i="2"/>
  <c r="V133" i="2"/>
  <c r="U133" i="2"/>
  <c r="T133" i="2"/>
  <c r="S133" i="2"/>
  <c r="P133" i="2"/>
  <c r="L133" i="2"/>
  <c r="H133" i="2"/>
  <c r="D133" i="2"/>
  <c r="V132" i="2"/>
  <c r="U132" i="2"/>
  <c r="T132" i="2"/>
  <c r="S132" i="2"/>
  <c r="P132" i="2"/>
  <c r="L132" i="2"/>
  <c r="H132" i="2"/>
  <c r="D132" i="2"/>
  <c r="V131" i="2"/>
  <c r="U131" i="2"/>
  <c r="T131" i="2"/>
  <c r="S131" i="2"/>
  <c r="P131" i="2"/>
  <c r="L131" i="2"/>
  <c r="H131" i="2"/>
  <c r="D131" i="2"/>
  <c r="U130" i="2"/>
  <c r="V130" i="2" s="1"/>
  <c r="M130" i="2" s="1"/>
  <c r="T130" i="2"/>
  <c r="S130" i="2"/>
  <c r="P130" i="2"/>
  <c r="L130" i="2"/>
  <c r="H130" i="2"/>
  <c r="E130" i="2"/>
  <c r="D130" i="2"/>
  <c r="U129" i="2"/>
  <c r="T129" i="2"/>
  <c r="S129" i="2"/>
  <c r="P129" i="2"/>
  <c r="L129" i="2"/>
  <c r="H129" i="2"/>
  <c r="D129" i="2"/>
  <c r="U128" i="2"/>
  <c r="T128" i="2"/>
  <c r="V128" i="2" s="1"/>
  <c r="S128" i="2"/>
  <c r="P128" i="2"/>
  <c r="M128" i="2"/>
  <c r="L128" i="2"/>
  <c r="H128" i="2"/>
  <c r="I128" i="2" s="1"/>
  <c r="D128" i="2"/>
  <c r="E128" i="2" s="1"/>
  <c r="V127" i="2"/>
  <c r="M127" i="2" s="1"/>
  <c r="U127" i="2"/>
  <c r="T127" i="2"/>
  <c r="S127" i="2"/>
  <c r="P127" i="2"/>
  <c r="L127" i="2"/>
  <c r="I127" i="2"/>
  <c r="H127" i="2"/>
  <c r="E127" i="2"/>
  <c r="D127" i="2"/>
  <c r="U126" i="2"/>
  <c r="V126" i="2" s="1"/>
  <c r="T126" i="2"/>
  <c r="S126" i="2"/>
  <c r="P126" i="2"/>
  <c r="L126" i="2"/>
  <c r="H126" i="2"/>
  <c r="D126" i="2"/>
  <c r="V125" i="2"/>
  <c r="U125" i="2"/>
  <c r="T125" i="2"/>
  <c r="S125" i="2"/>
  <c r="P125" i="2"/>
  <c r="L125" i="2"/>
  <c r="H125" i="2"/>
  <c r="D125" i="2"/>
  <c r="U122" i="2"/>
  <c r="T122" i="2"/>
  <c r="S122" i="2"/>
  <c r="P122" i="2"/>
  <c r="L122" i="2"/>
  <c r="H122" i="2"/>
  <c r="D122" i="2"/>
  <c r="U121" i="2"/>
  <c r="T121" i="2"/>
  <c r="V121" i="2" s="1"/>
  <c r="S121" i="2"/>
  <c r="P121" i="2"/>
  <c r="L121" i="2"/>
  <c r="H121" i="2"/>
  <c r="D121" i="2"/>
  <c r="U120" i="2"/>
  <c r="T120" i="2"/>
  <c r="V120" i="2" s="1"/>
  <c r="S120" i="2"/>
  <c r="P120" i="2"/>
  <c r="L120" i="2"/>
  <c r="H120" i="2"/>
  <c r="D120" i="2"/>
  <c r="V119" i="2"/>
  <c r="U119" i="2"/>
  <c r="T119" i="2"/>
  <c r="S119" i="2"/>
  <c r="P119" i="2"/>
  <c r="L119" i="2"/>
  <c r="H119" i="2"/>
  <c r="D119" i="2"/>
  <c r="E119" i="2" s="1"/>
  <c r="U118" i="2"/>
  <c r="T118" i="2"/>
  <c r="V118" i="2" s="1"/>
  <c r="S118" i="2"/>
  <c r="P118" i="2"/>
  <c r="L118" i="2"/>
  <c r="H118" i="2"/>
  <c r="D118" i="2"/>
  <c r="V117" i="2"/>
  <c r="M117" i="2" s="1"/>
  <c r="U117" i="2"/>
  <c r="T117" i="2"/>
  <c r="S117" i="2"/>
  <c r="P117" i="2"/>
  <c r="L117" i="2"/>
  <c r="H117" i="2"/>
  <c r="D117" i="2"/>
  <c r="U116" i="2"/>
  <c r="V116" i="2" s="1"/>
  <c r="T116" i="2"/>
  <c r="S116" i="2"/>
  <c r="P116" i="2"/>
  <c r="M116" i="2"/>
  <c r="L116" i="2"/>
  <c r="H116" i="2"/>
  <c r="I116" i="2" s="1"/>
  <c r="E116" i="2"/>
  <c r="D116" i="2"/>
  <c r="U115" i="2"/>
  <c r="T115" i="2"/>
  <c r="S115" i="2"/>
  <c r="P115" i="2"/>
  <c r="L115" i="2"/>
  <c r="H115" i="2"/>
  <c r="D115" i="2"/>
  <c r="U112" i="2"/>
  <c r="T112" i="2"/>
  <c r="S112" i="2"/>
  <c r="P112" i="2"/>
  <c r="L112" i="2"/>
  <c r="H112" i="2"/>
  <c r="D112" i="2"/>
  <c r="U111" i="2"/>
  <c r="T111" i="2"/>
  <c r="V111" i="2" s="1"/>
  <c r="S111" i="2"/>
  <c r="P111" i="2"/>
  <c r="L111" i="2"/>
  <c r="H111" i="2"/>
  <c r="E111" i="2"/>
  <c r="D111" i="2"/>
  <c r="V110" i="2"/>
  <c r="U110" i="2"/>
  <c r="T110" i="2"/>
  <c r="S110" i="2"/>
  <c r="P110" i="2"/>
  <c r="L110" i="2"/>
  <c r="H110" i="2"/>
  <c r="D110" i="2"/>
  <c r="V109" i="2"/>
  <c r="U109" i="2"/>
  <c r="T109" i="2"/>
  <c r="S109" i="2"/>
  <c r="P109" i="2"/>
  <c r="M109" i="2"/>
  <c r="L109" i="2"/>
  <c r="H109" i="2"/>
  <c r="E109" i="2"/>
  <c r="D109" i="2"/>
  <c r="U108" i="2"/>
  <c r="T108" i="2"/>
  <c r="V108" i="2" s="1"/>
  <c r="M108" i="2" s="1"/>
  <c r="S108" i="2"/>
  <c r="P108" i="2"/>
  <c r="L108" i="2"/>
  <c r="I108" i="2"/>
  <c r="H108" i="2"/>
  <c r="E108" i="2"/>
  <c r="D108" i="2"/>
  <c r="U107" i="2"/>
  <c r="T107" i="2"/>
  <c r="S107" i="2"/>
  <c r="P107" i="2"/>
  <c r="L107" i="2"/>
  <c r="H107" i="2"/>
  <c r="D107" i="2"/>
  <c r="U106" i="2"/>
  <c r="T106" i="2"/>
  <c r="V106" i="2" s="1"/>
  <c r="S106" i="2"/>
  <c r="P106" i="2"/>
  <c r="L106" i="2"/>
  <c r="H106" i="2"/>
  <c r="D106" i="2"/>
  <c r="U105" i="2"/>
  <c r="T105" i="2"/>
  <c r="V105" i="2" s="1"/>
  <c r="S105" i="2"/>
  <c r="P105" i="2"/>
  <c r="L105" i="2"/>
  <c r="H105" i="2"/>
  <c r="D105" i="2"/>
  <c r="U104" i="2"/>
  <c r="T104" i="2"/>
  <c r="S104" i="2"/>
  <c r="P104" i="2"/>
  <c r="L104" i="2"/>
  <c r="H104" i="2"/>
  <c r="D104" i="2"/>
  <c r="U103" i="2"/>
  <c r="T103" i="2"/>
  <c r="V103" i="2" s="1"/>
  <c r="S103" i="2"/>
  <c r="P103" i="2"/>
  <c r="L103" i="2"/>
  <c r="H103" i="2"/>
  <c r="D103" i="2"/>
  <c r="U102" i="2"/>
  <c r="V102" i="2" s="1"/>
  <c r="I102" i="2" s="1"/>
  <c r="T102" i="2"/>
  <c r="S102" i="2"/>
  <c r="P102" i="2"/>
  <c r="M102" i="2"/>
  <c r="L102" i="2"/>
  <c r="H102" i="2"/>
  <c r="E102" i="2"/>
  <c r="D102" i="2"/>
  <c r="U101" i="2"/>
  <c r="V101" i="2" s="1"/>
  <c r="I101" i="2" s="1"/>
  <c r="T101" i="2"/>
  <c r="S101" i="2"/>
  <c r="P101" i="2"/>
  <c r="L101" i="2"/>
  <c r="H101" i="2"/>
  <c r="D101" i="2"/>
  <c r="U100" i="2"/>
  <c r="T100" i="2"/>
  <c r="V100" i="2" s="1"/>
  <c r="M100" i="2" s="1"/>
  <c r="S100" i="2"/>
  <c r="P100" i="2"/>
  <c r="L100" i="2"/>
  <c r="I100" i="2"/>
  <c r="H100" i="2"/>
  <c r="E100" i="2"/>
  <c r="D100" i="2"/>
  <c r="V99" i="2"/>
  <c r="U99" i="2"/>
  <c r="T99" i="2"/>
  <c r="S99" i="2"/>
  <c r="P99" i="2"/>
  <c r="L99" i="2"/>
  <c r="H99" i="2"/>
  <c r="E99" i="2"/>
  <c r="D99" i="2"/>
  <c r="U96" i="2"/>
  <c r="T96" i="2"/>
  <c r="V96" i="2" s="1"/>
  <c r="S96" i="2"/>
  <c r="P96" i="2"/>
  <c r="L96" i="2"/>
  <c r="H96" i="2"/>
  <c r="D96" i="2"/>
  <c r="U95" i="2"/>
  <c r="V95" i="2" s="1"/>
  <c r="T95" i="2"/>
  <c r="S95" i="2"/>
  <c r="P95" i="2"/>
  <c r="L95" i="2"/>
  <c r="H95" i="2"/>
  <c r="D95" i="2"/>
  <c r="U94" i="2"/>
  <c r="V94" i="2" s="1"/>
  <c r="T94" i="2"/>
  <c r="S94" i="2"/>
  <c r="P94" i="2"/>
  <c r="L94" i="2"/>
  <c r="H94" i="2"/>
  <c r="D94" i="2"/>
  <c r="U93" i="2"/>
  <c r="T93" i="2"/>
  <c r="V93" i="2" s="1"/>
  <c r="S93" i="2"/>
  <c r="P93" i="2"/>
  <c r="L93" i="2"/>
  <c r="H93" i="2"/>
  <c r="D93" i="2"/>
  <c r="U92" i="2"/>
  <c r="V92" i="2" s="1"/>
  <c r="T92" i="2"/>
  <c r="S92" i="2"/>
  <c r="P92" i="2"/>
  <c r="L92" i="2"/>
  <c r="H92" i="2"/>
  <c r="D92" i="2"/>
  <c r="U91" i="2"/>
  <c r="V91" i="2" s="1"/>
  <c r="T91" i="2"/>
  <c r="S91" i="2"/>
  <c r="P91" i="2"/>
  <c r="L91" i="2"/>
  <c r="H91" i="2"/>
  <c r="D91" i="2"/>
  <c r="U90" i="2"/>
  <c r="T90" i="2"/>
  <c r="V90" i="2" s="1"/>
  <c r="M90" i="2" s="1"/>
  <c r="S90" i="2"/>
  <c r="P90" i="2"/>
  <c r="L90" i="2"/>
  <c r="H90" i="2"/>
  <c r="D90" i="2"/>
  <c r="V89" i="2"/>
  <c r="U89" i="2"/>
  <c r="T89" i="2"/>
  <c r="S89" i="2"/>
  <c r="P89" i="2"/>
  <c r="L89" i="2"/>
  <c r="H89" i="2"/>
  <c r="D89" i="2"/>
  <c r="U88" i="2"/>
  <c r="V88" i="2" s="1"/>
  <c r="E88" i="2" s="1"/>
  <c r="T88" i="2"/>
  <c r="S88" i="2"/>
  <c r="P88" i="2"/>
  <c r="M88" i="2"/>
  <c r="L88" i="2"/>
  <c r="I88" i="2"/>
  <c r="H88" i="2"/>
  <c r="D88" i="2"/>
  <c r="V85" i="2"/>
  <c r="U85" i="2"/>
  <c r="T85" i="2"/>
  <c r="S85" i="2"/>
  <c r="P85" i="2"/>
  <c r="M85" i="2"/>
  <c r="L85" i="2"/>
  <c r="H85" i="2"/>
  <c r="I85" i="2" s="1"/>
  <c r="E85" i="2"/>
  <c r="D85" i="2"/>
  <c r="V84" i="2"/>
  <c r="M84" i="2" s="1"/>
  <c r="U84" i="2"/>
  <c r="T84" i="2"/>
  <c r="S84" i="2"/>
  <c r="P84" i="2"/>
  <c r="L84" i="2"/>
  <c r="I84" i="2"/>
  <c r="H84" i="2"/>
  <c r="E84" i="2"/>
  <c r="D84" i="2"/>
  <c r="U83" i="2"/>
  <c r="T83" i="2"/>
  <c r="S83" i="2"/>
  <c r="P83" i="2"/>
  <c r="L83" i="2"/>
  <c r="H83" i="2"/>
  <c r="D83" i="2"/>
  <c r="U82" i="2"/>
  <c r="V82" i="2" s="1"/>
  <c r="T82" i="2"/>
  <c r="S82" i="2"/>
  <c r="P82" i="2"/>
  <c r="L82" i="2"/>
  <c r="H82" i="2"/>
  <c r="E82" i="2"/>
  <c r="D82" i="2"/>
  <c r="U81" i="2"/>
  <c r="T81" i="2"/>
  <c r="V81" i="2" s="1"/>
  <c r="M81" i="2" s="1"/>
  <c r="S81" i="2"/>
  <c r="P81" i="2"/>
  <c r="L81" i="2"/>
  <c r="H81" i="2"/>
  <c r="D81" i="2"/>
  <c r="U80" i="2"/>
  <c r="V80" i="2" s="1"/>
  <c r="T80" i="2"/>
  <c r="S80" i="2"/>
  <c r="P80" i="2"/>
  <c r="L80" i="2"/>
  <c r="H80" i="2"/>
  <c r="D80" i="2"/>
  <c r="U79" i="2"/>
  <c r="T79" i="2"/>
  <c r="V79" i="2" s="1"/>
  <c r="S79" i="2"/>
  <c r="P79" i="2"/>
  <c r="L79" i="2"/>
  <c r="H79" i="2"/>
  <c r="D79" i="2"/>
  <c r="U78" i="2"/>
  <c r="T78" i="2"/>
  <c r="V78" i="2" s="1"/>
  <c r="M78" i="2" s="1"/>
  <c r="S78" i="2"/>
  <c r="P78" i="2"/>
  <c r="L78" i="2"/>
  <c r="H78" i="2"/>
  <c r="D78" i="2"/>
  <c r="U77" i="2"/>
  <c r="T77" i="2"/>
  <c r="V77" i="2" s="1"/>
  <c r="S77" i="2"/>
  <c r="P77" i="2"/>
  <c r="L77" i="2"/>
  <c r="H77" i="2"/>
  <c r="D77" i="2"/>
  <c r="U76" i="2"/>
  <c r="T76" i="2"/>
  <c r="S76" i="2"/>
  <c r="P76" i="2"/>
  <c r="L76" i="2"/>
  <c r="H76" i="2"/>
  <c r="D76" i="2"/>
  <c r="V75" i="2"/>
  <c r="M75" i="2" s="1"/>
  <c r="U75" i="2"/>
  <c r="T75" i="2"/>
  <c r="S75" i="2"/>
  <c r="P75" i="2"/>
  <c r="L75" i="2"/>
  <c r="H75" i="2"/>
  <c r="D75" i="2"/>
  <c r="V74" i="2"/>
  <c r="U74" i="2"/>
  <c r="T74" i="2"/>
  <c r="S74" i="2"/>
  <c r="P74" i="2"/>
  <c r="L74" i="2"/>
  <c r="H74" i="2"/>
  <c r="D74" i="2"/>
  <c r="U73" i="2"/>
  <c r="T73" i="2"/>
  <c r="V73" i="2" s="1"/>
  <c r="S73" i="2"/>
  <c r="P73" i="2"/>
  <c r="L73" i="2"/>
  <c r="I73" i="2"/>
  <c r="H73" i="2"/>
  <c r="D73" i="2"/>
  <c r="U72" i="2"/>
  <c r="T72" i="2"/>
  <c r="V72" i="2" s="1"/>
  <c r="M72" i="2" s="1"/>
  <c r="S72" i="2"/>
  <c r="P72" i="2"/>
  <c r="L72" i="2"/>
  <c r="H72" i="2"/>
  <c r="D72" i="2"/>
  <c r="U71" i="2"/>
  <c r="T71" i="2"/>
  <c r="V71" i="2" s="1"/>
  <c r="M71" i="2" s="1"/>
  <c r="S71" i="2"/>
  <c r="P71" i="2"/>
  <c r="L71" i="2"/>
  <c r="I71" i="2"/>
  <c r="H71" i="2"/>
  <c r="E71" i="2"/>
  <c r="D71" i="2"/>
  <c r="V70" i="2"/>
  <c r="U70" i="2"/>
  <c r="T70" i="2"/>
  <c r="S70" i="2"/>
  <c r="P70" i="2"/>
  <c r="L70" i="2"/>
  <c r="H70" i="2"/>
  <c r="D70" i="2"/>
  <c r="U69" i="2"/>
  <c r="V69" i="2" s="1"/>
  <c r="T69" i="2"/>
  <c r="S69" i="2"/>
  <c r="P69" i="2"/>
  <c r="L69" i="2"/>
  <c r="H69" i="2"/>
  <c r="D69" i="2"/>
  <c r="U68" i="2"/>
  <c r="T68" i="2"/>
  <c r="S68" i="2"/>
  <c r="P68" i="2"/>
  <c r="L68" i="2"/>
  <c r="H68" i="2"/>
  <c r="D68" i="2"/>
  <c r="U67" i="2"/>
  <c r="T67" i="2"/>
  <c r="V67" i="2" s="1"/>
  <c r="S67" i="2"/>
  <c r="P67" i="2"/>
  <c r="M67" i="2"/>
  <c r="L67" i="2"/>
  <c r="H67" i="2"/>
  <c r="D67" i="2"/>
  <c r="V66" i="2"/>
  <c r="U66" i="2"/>
  <c r="T66" i="2"/>
  <c r="S66" i="2"/>
  <c r="P66" i="2"/>
  <c r="L66" i="2"/>
  <c r="H66" i="2"/>
  <c r="D66" i="2"/>
  <c r="V65" i="2"/>
  <c r="U65" i="2"/>
  <c r="T65" i="2"/>
  <c r="S65" i="2"/>
  <c r="P65" i="2"/>
  <c r="L65" i="2"/>
  <c r="H65" i="2"/>
  <c r="D65" i="2"/>
  <c r="U64" i="2"/>
  <c r="T64" i="2"/>
  <c r="S64" i="2"/>
  <c r="P64" i="2"/>
  <c r="L64" i="2"/>
  <c r="H64" i="2"/>
  <c r="D64" i="2"/>
  <c r="V63" i="2"/>
  <c r="U63" i="2"/>
  <c r="T63" i="2"/>
  <c r="S63" i="2"/>
  <c r="P63" i="2"/>
  <c r="L63" i="2"/>
  <c r="H63" i="2"/>
  <c r="E63" i="2"/>
  <c r="D63" i="2"/>
  <c r="U62" i="2"/>
  <c r="V62" i="2" s="1"/>
  <c r="I62" i="2" s="1"/>
  <c r="T62" i="2"/>
  <c r="S62" i="2"/>
  <c r="P62" i="2"/>
  <c r="M62" i="2"/>
  <c r="L62" i="2"/>
  <c r="H62" i="2"/>
  <c r="E62" i="2"/>
  <c r="D62" i="2"/>
  <c r="U59" i="2"/>
  <c r="T59" i="2"/>
  <c r="S59" i="2"/>
  <c r="P59" i="2"/>
  <c r="L59" i="2"/>
  <c r="H59" i="2"/>
  <c r="D59" i="2"/>
  <c r="U58" i="2"/>
  <c r="V58" i="2" s="1"/>
  <c r="M58" i="2" s="1"/>
  <c r="T58" i="2"/>
  <c r="S58" i="2"/>
  <c r="P58" i="2"/>
  <c r="L58" i="2"/>
  <c r="H58" i="2"/>
  <c r="D58" i="2"/>
  <c r="U57" i="2"/>
  <c r="T57" i="2"/>
  <c r="V57" i="2" s="1"/>
  <c r="I57" i="2" s="1"/>
  <c r="S57" i="2"/>
  <c r="P57" i="2"/>
  <c r="L57" i="2"/>
  <c r="H57" i="2"/>
  <c r="D57" i="2"/>
  <c r="V56" i="2"/>
  <c r="U56" i="2"/>
  <c r="T56" i="2"/>
  <c r="S56" i="2"/>
  <c r="P56" i="2"/>
  <c r="L56" i="2"/>
  <c r="I56" i="2"/>
  <c r="H56" i="2"/>
  <c r="D56" i="2"/>
  <c r="V55" i="2"/>
  <c r="U55" i="2"/>
  <c r="T55" i="2"/>
  <c r="S55" i="2"/>
  <c r="P55" i="2"/>
  <c r="L55" i="2"/>
  <c r="H55" i="2"/>
  <c r="E55" i="2"/>
  <c r="D55" i="2"/>
  <c r="U54" i="2"/>
  <c r="T54" i="2"/>
  <c r="V54" i="2" s="1"/>
  <c r="M54" i="2" s="1"/>
  <c r="S54" i="2"/>
  <c r="P54" i="2"/>
  <c r="L54" i="2"/>
  <c r="H54" i="2"/>
  <c r="E54" i="2"/>
  <c r="D54" i="2"/>
  <c r="V53" i="2"/>
  <c r="U53" i="2"/>
  <c r="T53" i="2"/>
  <c r="S53" i="2"/>
  <c r="P53" i="2"/>
  <c r="L53" i="2"/>
  <c r="H53" i="2"/>
  <c r="D53" i="2"/>
  <c r="U52" i="2"/>
  <c r="T52" i="2"/>
  <c r="V52" i="2" s="1"/>
  <c r="I52" i="2" s="1"/>
  <c r="S52" i="2"/>
  <c r="P52" i="2"/>
  <c r="M52" i="2"/>
  <c r="L52" i="2"/>
  <c r="H52" i="2"/>
  <c r="E52" i="2"/>
  <c r="D52" i="2"/>
  <c r="V51" i="2"/>
  <c r="M51" i="2" s="1"/>
  <c r="U51" i="2"/>
  <c r="T51" i="2"/>
  <c r="S51" i="2"/>
  <c r="P51" i="2"/>
  <c r="L51" i="2"/>
  <c r="I51" i="2"/>
  <c r="H51" i="2"/>
  <c r="D51" i="2"/>
  <c r="E51" i="2" s="1"/>
  <c r="U50" i="2"/>
  <c r="T50" i="2"/>
  <c r="S50" i="2"/>
  <c r="P50" i="2"/>
  <c r="L50" i="2"/>
  <c r="H50" i="2"/>
  <c r="D50" i="2"/>
  <c r="V49" i="2"/>
  <c r="U49" i="2"/>
  <c r="T49" i="2"/>
  <c r="S49" i="2"/>
  <c r="P49" i="2"/>
  <c r="L49" i="2"/>
  <c r="H49" i="2"/>
  <c r="D49" i="2"/>
  <c r="U48" i="2"/>
  <c r="V48" i="2" s="1"/>
  <c r="T48" i="2"/>
  <c r="S48" i="2"/>
  <c r="P48" i="2"/>
  <c r="M48" i="2"/>
  <c r="L48" i="2"/>
  <c r="H48" i="2"/>
  <c r="E48" i="2"/>
  <c r="D48" i="2"/>
  <c r="U47" i="2"/>
  <c r="T47" i="2"/>
  <c r="V47" i="2" s="1"/>
  <c r="M47" i="2" s="1"/>
  <c r="S47" i="2"/>
  <c r="P47" i="2"/>
  <c r="L47" i="2"/>
  <c r="I47" i="2"/>
  <c r="H47" i="2"/>
  <c r="D47" i="2"/>
  <c r="E47" i="2" s="1"/>
  <c r="V46" i="2"/>
  <c r="M46" i="2" s="1"/>
  <c r="U46" i="2"/>
  <c r="T46" i="2"/>
  <c r="S46" i="2"/>
  <c r="P46" i="2"/>
  <c r="L46" i="2"/>
  <c r="H46" i="2"/>
  <c r="D46" i="2"/>
  <c r="V45" i="2"/>
  <c r="U45" i="2"/>
  <c r="T45" i="2"/>
  <c r="S45" i="2"/>
  <c r="P45" i="2"/>
  <c r="L45" i="2"/>
  <c r="H45" i="2"/>
  <c r="D45" i="2"/>
  <c r="U44" i="2"/>
  <c r="T44" i="2"/>
  <c r="S44" i="2"/>
  <c r="P44" i="2"/>
  <c r="L44" i="2"/>
  <c r="H44" i="2"/>
  <c r="D44" i="2"/>
  <c r="U41" i="2"/>
  <c r="V41" i="2" s="1"/>
  <c r="M41" i="2" s="1"/>
  <c r="T41" i="2"/>
  <c r="S41" i="2"/>
  <c r="P41" i="2"/>
  <c r="L41" i="2"/>
  <c r="H41" i="2"/>
  <c r="D41" i="2"/>
  <c r="U40" i="2"/>
  <c r="T40" i="2"/>
  <c r="V40" i="2" s="1"/>
  <c r="I40" i="2" s="1"/>
  <c r="S40" i="2"/>
  <c r="P40" i="2"/>
  <c r="M40" i="2"/>
  <c r="L40" i="2"/>
  <c r="H40" i="2"/>
  <c r="D40" i="2"/>
  <c r="U39" i="2"/>
  <c r="T39" i="2"/>
  <c r="S39" i="2"/>
  <c r="P39" i="2"/>
  <c r="L39" i="2"/>
  <c r="H39" i="2"/>
  <c r="D39" i="2"/>
  <c r="U38" i="2"/>
  <c r="T38" i="2"/>
  <c r="V38" i="2" s="1"/>
  <c r="S38" i="2"/>
  <c r="P38" i="2"/>
  <c r="L38" i="2"/>
  <c r="H38" i="2"/>
  <c r="D38" i="2"/>
  <c r="U37" i="2"/>
  <c r="T37" i="2"/>
  <c r="V37" i="2" s="1"/>
  <c r="S37" i="2"/>
  <c r="P37" i="2"/>
  <c r="L37" i="2"/>
  <c r="H37" i="2"/>
  <c r="D37" i="2"/>
  <c r="U36" i="2"/>
  <c r="T36" i="2"/>
  <c r="S36" i="2"/>
  <c r="P36" i="2"/>
  <c r="L36" i="2"/>
  <c r="H36" i="2"/>
  <c r="D36" i="2"/>
  <c r="U35" i="2"/>
  <c r="T35" i="2"/>
  <c r="V35" i="2" s="1"/>
  <c r="S35" i="2"/>
  <c r="P35" i="2"/>
  <c r="L35" i="2"/>
  <c r="M35" i="2" s="1"/>
  <c r="H35" i="2"/>
  <c r="E35" i="2"/>
  <c r="D35" i="2"/>
  <c r="V34" i="2"/>
  <c r="M34" i="2" s="1"/>
  <c r="U34" i="2"/>
  <c r="T34" i="2"/>
  <c r="S34" i="2"/>
  <c r="P34" i="2"/>
  <c r="L34" i="2"/>
  <c r="H34" i="2"/>
  <c r="I34" i="2" s="1"/>
  <c r="D34" i="2"/>
  <c r="E34" i="2" s="1"/>
  <c r="U33" i="2"/>
  <c r="V33" i="2" s="1"/>
  <c r="T33" i="2"/>
  <c r="S33" i="2"/>
  <c r="P33" i="2"/>
  <c r="L33" i="2"/>
  <c r="H33" i="2"/>
  <c r="D33" i="2"/>
  <c r="U32" i="2"/>
  <c r="T32" i="2"/>
  <c r="V32" i="2" s="1"/>
  <c r="M32" i="2" s="1"/>
  <c r="S32" i="2"/>
  <c r="P32" i="2"/>
  <c r="L32" i="2"/>
  <c r="H32" i="2"/>
  <c r="D32" i="2"/>
  <c r="U31" i="2"/>
  <c r="T31" i="2"/>
  <c r="V31" i="2" s="1"/>
  <c r="I31" i="2" s="1"/>
  <c r="S31" i="2"/>
  <c r="P31" i="2"/>
  <c r="L31" i="2"/>
  <c r="H31" i="2"/>
  <c r="D31" i="2"/>
  <c r="V30" i="2"/>
  <c r="I30" i="2" s="1"/>
  <c r="U30" i="2"/>
  <c r="T30" i="2"/>
  <c r="S30" i="2"/>
  <c r="P30" i="2"/>
  <c r="M30" i="2"/>
  <c r="L30" i="2"/>
  <c r="H30" i="2"/>
  <c r="E30" i="2"/>
  <c r="D30" i="2"/>
  <c r="V29" i="2"/>
  <c r="U29" i="2"/>
  <c r="T29" i="2"/>
  <c r="S29" i="2"/>
  <c r="P29" i="2"/>
  <c r="L29" i="2"/>
  <c r="H29" i="2"/>
  <c r="D29" i="2"/>
  <c r="U28" i="2"/>
  <c r="T28" i="2"/>
  <c r="V28" i="2" s="1"/>
  <c r="S28" i="2"/>
  <c r="P28" i="2"/>
  <c r="L28" i="2"/>
  <c r="H28" i="2"/>
  <c r="D28" i="2"/>
  <c r="V27" i="2"/>
  <c r="U27" i="2"/>
  <c r="T27" i="2"/>
  <c r="S27" i="2"/>
  <c r="P27" i="2"/>
  <c r="L27" i="2"/>
  <c r="H27" i="2"/>
  <c r="D27" i="2"/>
  <c r="U26" i="2"/>
  <c r="T26" i="2"/>
  <c r="S26" i="2"/>
  <c r="P26" i="2"/>
  <c r="L26" i="2"/>
  <c r="H26" i="2"/>
  <c r="D26" i="2"/>
  <c r="U25" i="2"/>
  <c r="T25" i="2"/>
  <c r="V25" i="2" s="1"/>
  <c r="S25" i="2"/>
  <c r="P25" i="2"/>
  <c r="L25" i="2"/>
  <c r="H25" i="2"/>
  <c r="D25" i="2"/>
  <c r="U24" i="2"/>
  <c r="T24" i="2"/>
  <c r="V24" i="2" s="1"/>
  <c r="S24" i="2"/>
  <c r="P24" i="2"/>
  <c r="L24" i="2"/>
  <c r="M24" i="2" s="1"/>
  <c r="H24" i="2"/>
  <c r="D24" i="2"/>
  <c r="V23" i="2"/>
  <c r="U23" i="2"/>
  <c r="T23" i="2"/>
  <c r="S23" i="2"/>
  <c r="P23" i="2"/>
  <c r="L23" i="2"/>
  <c r="H23" i="2"/>
  <c r="D23" i="2"/>
  <c r="U22" i="2"/>
  <c r="V22" i="2" s="1"/>
  <c r="T22" i="2"/>
  <c r="S22" i="2"/>
  <c r="P22" i="2"/>
  <c r="L22" i="2"/>
  <c r="H22" i="2"/>
  <c r="D22" i="2"/>
  <c r="U21" i="2"/>
  <c r="V21" i="2" s="1"/>
  <c r="I21" i="2" s="1"/>
  <c r="T21" i="2"/>
  <c r="S21" i="2"/>
  <c r="P21" i="2"/>
  <c r="L21" i="2"/>
  <c r="H21" i="2"/>
  <c r="E21" i="2"/>
  <c r="D21" i="2"/>
  <c r="U20" i="2"/>
  <c r="T20" i="2"/>
  <c r="V20" i="2" s="1"/>
  <c r="S20" i="2"/>
  <c r="P20" i="2"/>
  <c r="L20" i="2"/>
  <c r="H20" i="2"/>
  <c r="D20" i="2"/>
  <c r="U19" i="2"/>
  <c r="T19" i="2"/>
  <c r="S19" i="2"/>
  <c r="P19" i="2"/>
  <c r="L19" i="2"/>
  <c r="H19" i="2"/>
  <c r="D19" i="2"/>
  <c r="U18" i="2"/>
  <c r="V18" i="2" s="1"/>
  <c r="M18" i="2" s="1"/>
  <c r="T18" i="2"/>
  <c r="S18" i="2"/>
  <c r="P18" i="2"/>
  <c r="L18" i="2"/>
  <c r="H18" i="2"/>
  <c r="D18" i="2"/>
  <c r="U17" i="2"/>
  <c r="V17" i="2" s="1"/>
  <c r="T17" i="2"/>
  <c r="S17" i="2"/>
  <c r="P17" i="2"/>
  <c r="L17" i="2"/>
  <c r="H17" i="2"/>
  <c r="D17" i="2"/>
  <c r="U14" i="2"/>
  <c r="T14" i="2"/>
  <c r="V14" i="2" s="1"/>
  <c r="M14" i="2" s="1"/>
  <c r="S14" i="2"/>
  <c r="P14" i="2"/>
  <c r="L14" i="2"/>
  <c r="I14" i="2"/>
  <c r="H14" i="2"/>
  <c r="E14" i="2"/>
  <c r="D14" i="2"/>
  <c r="U13" i="2"/>
  <c r="V13" i="2" s="1"/>
  <c r="T13" i="2"/>
  <c r="S13" i="2"/>
  <c r="P13" i="2"/>
  <c r="L13" i="2"/>
  <c r="H13" i="2"/>
  <c r="D13" i="2"/>
  <c r="V12" i="2"/>
  <c r="U12" i="2"/>
  <c r="T12" i="2"/>
  <c r="S12" i="2"/>
  <c r="P12" i="2"/>
  <c r="L12" i="2"/>
  <c r="H12" i="2"/>
  <c r="D12" i="2"/>
  <c r="U11" i="2"/>
  <c r="T11" i="2"/>
  <c r="V11" i="2" s="1"/>
  <c r="S11" i="2"/>
  <c r="P11" i="2"/>
  <c r="L11" i="2"/>
  <c r="H11" i="2"/>
  <c r="D11" i="2"/>
  <c r="U10" i="2"/>
  <c r="T10" i="2"/>
  <c r="S10" i="2"/>
  <c r="P10" i="2"/>
  <c r="L10" i="2"/>
  <c r="H10" i="2"/>
  <c r="D10" i="2"/>
  <c r="U9" i="2"/>
  <c r="T9" i="2"/>
  <c r="V9" i="2" s="1"/>
  <c r="S9" i="2"/>
  <c r="P9" i="2"/>
  <c r="L9" i="2"/>
  <c r="I9" i="2"/>
  <c r="H9" i="2"/>
  <c r="E9" i="2"/>
  <c r="D9" i="2"/>
  <c r="V8" i="2"/>
  <c r="U8" i="2"/>
  <c r="T8" i="2"/>
  <c r="S8" i="2"/>
  <c r="P8" i="2"/>
  <c r="L8" i="2"/>
  <c r="H8" i="2"/>
  <c r="D8" i="2"/>
  <c r="V7" i="2"/>
  <c r="U7" i="2"/>
  <c r="T7" i="2"/>
  <c r="S7" i="2"/>
  <c r="P7" i="2"/>
  <c r="M7" i="2"/>
  <c r="L7" i="2"/>
  <c r="H7" i="2"/>
  <c r="D7" i="2"/>
  <c r="U6" i="2"/>
  <c r="T6" i="2"/>
  <c r="S6" i="2"/>
  <c r="P6" i="2"/>
  <c r="L6" i="2"/>
  <c r="H6" i="2"/>
  <c r="D6" i="2"/>
  <c r="U5" i="2"/>
  <c r="T5" i="2"/>
  <c r="V5" i="2" s="1"/>
  <c r="S5" i="2"/>
  <c r="P5" i="2"/>
  <c r="L5" i="2"/>
  <c r="H5" i="2"/>
  <c r="D5" i="2"/>
  <c r="V4" i="2"/>
  <c r="U4" i="2"/>
  <c r="T4" i="2"/>
  <c r="S4" i="2"/>
  <c r="P4" i="2"/>
  <c r="M4" i="2"/>
  <c r="L4" i="2"/>
  <c r="I4" i="2"/>
  <c r="H4" i="2"/>
  <c r="E4" i="2"/>
  <c r="D4" i="2"/>
  <c r="R336" i="1"/>
  <c r="Q336" i="1"/>
  <c r="I336" i="1"/>
  <c r="H336" i="1"/>
  <c r="F336" i="1"/>
  <c r="E336" i="1"/>
  <c r="C336" i="1"/>
  <c r="B336" i="1"/>
  <c r="T334" i="1"/>
  <c r="S334" i="1"/>
  <c r="L334" i="1"/>
  <c r="U334" i="1" s="1"/>
  <c r="K334" i="1"/>
  <c r="J334" i="1"/>
  <c r="G334" i="1"/>
  <c r="D334" i="1"/>
  <c r="T331" i="1"/>
  <c r="S331" i="1"/>
  <c r="M331" i="1"/>
  <c r="L331" i="1"/>
  <c r="U331" i="1" s="1"/>
  <c r="K331" i="1"/>
  <c r="J331" i="1"/>
  <c r="G331" i="1"/>
  <c r="D331" i="1"/>
  <c r="U330" i="1"/>
  <c r="T330" i="1"/>
  <c r="V330" i="1" s="1"/>
  <c r="S330" i="1"/>
  <c r="M330" i="1"/>
  <c r="L330" i="1"/>
  <c r="K330" i="1"/>
  <c r="J330" i="1"/>
  <c r="G330" i="1"/>
  <c r="D330" i="1"/>
  <c r="T327" i="1"/>
  <c r="V327" i="1" s="1"/>
  <c r="S327" i="1"/>
  <c r="L327" i="1"/>
  <c r="U327" i="1" s="1"/>
  <c r="K327" i="1"/>
  <c r="J327" i="1"/>
  <c r="G327" i="1"/>
  <c r="D327" i="1"/>
  <c r="T326" i="1"/>
  <c r="S326" i="1"/>
  <c r="L326" i="1"/>
  <c r="K326" i="1"/>
  <c r="J326" i="1"/>
  <c r="G326" i="1"/>
  <c r="D326" i="1"/>
  <c r="T325" i="1"/>
  <c r="S325" i="1"/>
  <c r="L325" i="1"/>
  <c r="K325" i="1"/>
  <c r="J325" i="1"/>
  <c r="G325" i="1"/>
  <c r="D325" i="1"/>
  <c r="U324" i="1"/>
  <c r="T324" i="1"/>
  <c r="S324" i="1"/>
  <c r="M324" i="1"/>
  <c r="L324" i="1"/>
  <c r="K324" i="1"/>
  <c r="J324" i="1"/>
  <c r="G324" i="1"/>
  <c r="D324" i="1"/>
  <c r="U323" i="1"/>
  <c r="S323" i="1"/>
  <c r="L323" i="1"/>
  <c r="K323" i="1"/>
  <c r="M323" i="1" s="1"/>
  <c r="J323" i="1"/>
  <c r="G323" i="1"/>
  <c r="D323" i="1"/>
  <c r="V322" i="1"/>
  <c r="U322" i="1"/>
  <c r="S322" i="1"/>
  <c r="M322" i="1"/>
  <c r="L322" i="1"/>
  <c r="K322" i="1"/>
  <c r="T322" i="1" s="1"/>
  <c r="J322" i="1"/>
  <c r="G322" i="1"/>
  <c r="D322" i="1"/>
  <c r="T321" i="1"/>
  <c r="V321" i="1" s="1"/>
  <c r="S321" i="1"/>
  <c r="M321" i="1"/>
  <c r="L321" i="1"/>
  <c r="U321" i="1" s="1"/>
  <c r="K321" i="1"/>
  <c r="J321" i="1"/>
  <c r="G321" i="1"/>
  <c r="D321" i="1"/>
  <c r="U320" i="1"/>
  <c r="T320" i="1"/>
  <c r="V320" i="1" s="1"/>
  <c r="S320" i="1"/>
  <c r="M320" i="1"/>
  <c r="L320" i="1"/>
  <c r="K320" i="1"/>
  <c r="J320" i="1"/>
  <c r="G320" i="1"/>
  <c r="D320" i="1"/>
  <c r="U319" i="1"/>
  <c r="T319" i="1"/>
  <c r="S319" i="1"/>
  <c r="L319" i="1"/>
  <c r="K319" i="1"/>
  <c r="M319" i="1" s="1"/>
  <c r="J319" i="1"/>
  <c r="G319" i="1"/>
  <c r="D319" i="1"/>
  <c r="U318" i="1"/>
  <c r="S318" i="1"/>
  <c r="M318" i="1"/>
  <c r="L318" i="1"/>
  <c r="K318" i="1"/>
  <c r="T318" i="1" s="1"/>
  <c r="J318" i="1"/>
  <c r="G318" i="1"/>
  <c r="D318" i="1"/>
  <c r="T317" i="1"/>
  <c r="S317" i="1"/>
  <c r="L317" i="1"/>
  <c r="K317" i="1"/>
  <c r="J317" i="1"/>
  <c r="G317" i="1"/>
  <c r="D317" i="1"/>
  <c r="U316" i="1"/>
  <c r="T316" i="1"/>
  <c r="V316" i="1" s="1"/>
  <c r="S316" i="1"/>
  <c r="L316" i="1"/>
  <c r="K316" i="1"/>
  <c r="M316" i="1" s="1"/>
  <c r="J316" i="1"/>
  <c r="G316" i="1"/>
  <c r="D316" i="1"/>
  <c r="S315" i="1"/>
  <c r="L315" i="1"/>
  <c r="U315" i="1" s="1"/>
  <c r="K315" i="1"/>
  <c r="T315" i="1" s="1"/>
  <c r="V315" i="1" s="1"/>
  <c r="J315" i="1"/>
  <c r="G315" i="1"/>
  <c r="D315" i="1"/>
  <c r="S314" i="1"/>
  <c r="L314" i="1"/>
  <c r="U314" i="1" s="1"/>
  <c r="K314" i="1"/>
  <c r="T314" i="1" s="1"/>
  <c r="V314" i="1" s="1"/>
  <c r="J314" i="1"/>
  <c r="G314" i="1"/>
  <c r="D314" i="1"/>
  <c r="S313" i="1"/>
  <c r="L313" i="1"/>
  <c r="U313" i="1" s="1"/>
  <c r="K313" i="1"/>
  <c r="J313" i="1"/>
  <c r="G313" i="1"/>
  <c r="D313" i="1"/>
  <c r="V312" i="1"/>
  <c r="S312" i="1"/>
  <c r="M312" i="1"/>
  <c r="L312" i="1"/>
  <c r="U312" i="1" s="1"/>
  <c r="K312" i="1"/>
  <c r="T312" i="1" s="1"/>
  <c r="J312" i="1"/>
  <c r="G312" i="1"/>
  <c r="D312" i="1"/>
  <c r="V311" i="1"/>
  <c r="T311" i="1"/>
  <c r="S311" i="1"/>
  <c r="L311" i="1"/>
  <c r="U311" i="1" s="1"/>
  <c r="K311" i="1"/>
  <c r="M311" i="1" s="1"/>
  <c r="J311" i="1"/>
  <c r="G311" i="1"/>
  <c r="D311" i="1"/>
  <c r="U310" i="1"/>
  <c r="S310" i="1"/>
  <c r="L310" i="1"/>
  <c r="M310" i="1" s="1"/>
  <c r="K310" i="1"/>
  <c r="T310" i="1" s="1"/>
  <c r="J310" i="1"/>
  <c r="G310" i="1"/>
  <c r="D310" i="1"/>
  <c r="S309" i="1"/>
  <c r="L309" i="1"/>
  <c r="U309" i="1" s="1"/>
  <c r="K309" i="1"/>
  <c r="J309" i="1"/>
  <c r="G309" i="1"/>
  <c r="D309" i="1"/>
  <c r="T308" i="1"/>
  <c r="V308" i="1" s="1"/>
  <c r="S308" i="1"/>
  <c r="L308" i="1"/>
  <c r="U308" i="1" s="1"/>
  <c r="K308" i="1"/>
  <c r="M308" i="1" s="1"/>
  <c r="J308" i="1"/>
  <c r="G308" i="1"/>
  <c r="D308" i="1"/>
  <c r="U307" i="1"/>
  <c r="S307" i="1"/>
  <c r="L307" i="1"/>
  <c r="M307" i="1" s="1"/>
  <c r="K307" i="1"/>
  <c r="T307" i="1" s="1"/>
  <c r="J307" i="1"/>
  <c r="G307" i="1"/>
  <c r="D307" i="1"/>
  <c r="V306" i="1"/>
  <c r="T306" i="1"/>
  <c r="S306" i="1"/>
  <c r="L306" i="1"/>
  <c r="U306" i="1" s="1"/>
  <c r="K306" i="1"/>
  <c r="J306" i="1"/>
  <c r="G306" i="1"/>
  <c r="D306" i="1"/>
  <c r="U305" i="1"/>
  <c r="T305" i="1"/>
  <c r="V305" i="1" s="1"/>
  <c r="S305" i="1"/>
  <c r="M305" i="1"/>
  <c r="L305" i="1"/>
  <c r="K305" i="1"/>
  <c r="J305" i="1"/>
  <c r="G305" i="1"/>
  <c r="D305" i="1"/>
  <c r="V304" i="1"/>
  <c r="U304" i="1"/>
  <c r="T304" i="1"/>
  <c r="S304" i="1"/>
  <c r="L304" i="1"/>
  <c r="K304" i="1"/>
  <c r="M304" i="1" s="1"/>
  <c r="J304" i="1"/>
  <c r="G304" i="1"/>
  <c r="D304" i="1"/>
  <c r="V303" i="1"/>
  <c r="U303" i="1"/>
  <c r="T303" i="1"/>
  <c r="S303" i="1"/>
  <c r="L303" i="1"/>
  <c r="K303" i="1"/>
  <c r="M303" i="1" s="1"/>
  <c r="J303" i="1"/>
  <c r="G303" i="1"/>
  <c r="D303" i="1"/>
  <c r="U302" i="1"/>
  <c r="T302" i="1"/>
  <c r="S302" i="1"/>
  <c r="L302" i="1"/>
  <c r="K302" i="1"/>
  <c r="J302" i="1"/>
  <c r="G302" i="1"/>
  <c r="D302" i="1"/>
  <c r="T301" i="1"/>
  <c r="V301" i="1" s="1"/>
  <c r="S301" i="1"/>
  <c r="L301" i="1"/>
  <c r="U301" i="1" s="1"/>
  <c r="K301" i="1"/>
  <c r="J301" i="1"/>
  <c r="G301" i="1"/>
  <c r="D301" i="1"/>
  <c r="U300" i="1"/>
  <c r="S300" i="1"/>
  <c r="L300" i="1"/>
  <c r="K300" i="1"/>
  <c r="J300" i="1"/>
  <c r="G300" i="1"/>
  <c r="D300" i="1"/>
  <c r="S299" i="1"/>
  <c r="M299" i="1"/>
  <c r="L299" i="1"/>
  <c r="U299" i="1" s="1"/>
  <c r="K299" i="1"/>
  <c r="T299" i="1" s="1"/>
  <c r="V299" i="1" s="1"/>
  <c r="J299" i="1"/>
  <c r="G299" i="1"/>
  <c r="D299" i="1"/>
  <c r="S298" i="1"/>
  <c r="L298" i="1"/>
  <c r="U298" i="1" s="1"/>
  <c r="K298" i="1"/>
  <c r="T298" i="1" s="1"/>
  <c r="V298" i="1" s="1"/>
  <c r="J298" i="1"/>
  <c r="G298" i="1"/>
  <c r="D298" i="1"/>
  <c r="S297" i="1"/>
  <c r="L297" i="1"/>
  <c r="U297" i="1" s="1"/>
  <c r="K297" i="1"/>
  <c r="T297" i="1" s="1"/>
  <c r="J297" i="1"/>
  <c r="G297" i="1"/>
  <c r="D297" i="1"/>
  <c r="S296" i="1"/>
  <c r="L296" i="1"/>
  <c r="U296" i="1" s="1"/>
  <c r="K296" i="1"/>
  <c r="J296" i="1"/>
  <c r="G296" i="1"/>
  <c r="D296" i="1"/>
  <c r="T293" i="1"/>
  <c r="S293" i="1"/>
  <c r="L293" i="1"/>
  <c r="K293" i="1"/>
  <c r="J293" i="1"/>
  <c r="G293" i="1"/>
  <c r="D293" i="1"/>
  <c r="U292" i="1"/>
  <c r="S292" i="1"/>
  <c r="L292" i="1"/>
  <c r="K292" i="1"/>
  <c r="J292" i="1"/>
  <c r="G292" i="1"/>
  <c r="D292" i="1"/>
  <c r="T291" i="1"/>
  <c r="S291" i="1"/>
  <c r="L291" i="1"/>
  <c r="K291" i="1"/>
  <c r="J291" i="1"/>
  <c r="G291" i="1"/>
  <c r="D291" i="1"/>
  <c r="U290" i="1"/>
  <c r="S290" i="1"/>
  <c r="M290" i="1"/>
  <c r="L290" i="1"/>
  <c r="K290" i="1"/>
  <c r="T290" i="1" s="1"/>
  <c r="V290" i="1" s="1"/>
  <c r="J290" i="1"/>
  <c r="G290" i="1"/>
  <c r="D290" i="1"/>
  <c r="V289" i="1"/>
  <c r="T289" i="1"/>
  <c r="S289" i="1"/>
  <c r="L289" i="1"/>
  <c r="U289" i="1" s="1"/>
  <c r="K289" i="1"/>
  <c r="M289" i="1" s="1"/>
  <c r="J289" i="1"/>
  <c r="G289" i="1"/>
  <c r="D289" i="1"/>
  <c r="V288" i="1"/>
  <c r="T288" i="1"/>
  <c r="S288" i="1"/>
  <c r="L288" i="1"/>
  <c r="U288" i="1" s="1"/>
  <c r="K288" i="1"/>
  <c r="M288" i="1" s="1"/>
  <c r="J288" i="1"/>
  <c r="G288" i="1"/>
  <c r="D288" i="1"/>
  <c r="T287" i="1"/>
  <c r="S287" i="1"/>
  <c r="L287" i="1"/>
  <c r="K287" i="1"/>
  <c r="J287" i="1"/>
  <c r="G287" i="1"/>
  <c r="D287" i="1"/>
  <c r="S286" i="1"/>
  <c r="L286" i="1"/>
  <c r="U286" i="1" s="1"/>
  <c r="K286" i="1"/>
  <c r="J286" i="1"/>
  <c r="G286" i="1"/>
  <c r="D286" i="1"/>
  <c r="S285" i="1"/>
  <c r="L285" i="1"/>
  <c r="U285" i="1" s="1"/>
  <c r="K285" i="1"/>
  <c r="T285" i="1" s="1"/>
  <c r="V285" i="1" s="1"/>
  <c r="J285" i="1"/>
  <c r="G285" i="1"/>
  <c r="D285" i="1"/>
  <c r="T284" i="1"/>
  <c r="V284" i="1" s="1"/>
  <c r="S284" i="1"/>
  <c r="M284" i="1"/>
  <c r="L284" i="1"/>
  <c r="U284" i="1" s="1"/>
  <c r="K284" i="1"/>
  <c r="J284" i="1"/>
  <c r="G284" i="1"/>
  <c r="D284" i="1"/>
  <c r="S283" i="1"/>
  <c r="M283" i="1"/>
  <c r="L283" i="1"/>
  <c r="U283" i="1" s="1"/>
  <c r="K283" i="1"/>
  <c r="T283" i="1" s="1"/>
  <c r="J283" i="1"/>
  <c r="G283" i="1"/>
  <c r="D283" i="1"/>
  <c r="T282" i="1"/>
  <c r="V282" i="1" s="1"/>
  <c r="S282" i="1"/>
  <c r="M282" i="1"/>
  <c r="L282" i="1"/>
  <c r="U282" i="1" s="1"/>
  <c r="K282" i="1"/>
  <c r="J282" i="1"/>
  <c r="G282" i="1"/>
  <c r="D282" i="1"/>
  <c r="U279" i="1"/>
  <c r="T279" i="1"/>
  <c r="V279" i="1" s="1"/>
  <c r="S279" i="1"/>
  <c r="M279" i="1"/>
  <c r="L279" i="1"/>
  <c r="K279" i="1"/>
  <c r="J279" i="1"/>
  <c r="G279" i="1"/>
  <c r="D279" i="1"/>
  <c r="S278" i="1"/>
  <c r="L278" i="1"/>
  <c r="U278" i="1" s="1"/>
  <c r="K278" i="1"/>
  <c r="J278" i="1"/>
  <c r="G278" i="1"/>
  <c r="D278" i="1"/>
  <c r="S277" i="1"/>
  <c r="L277" i="1"/>
  <c r="U277" i="1" s="1"/>
  <c r="K277" i="1"/>
  <c r="J277" i="1"/>
  <c r="G277" i="1"/>
  <c r="D277" i="1"/>
  <c r="U276" i="1"/>
  <c r="V276" i="1" s="1"/>
  <c r="T276" i="1"/>
  <c r="S276" i="1"/>
  <c r="M276" i="1"/>
  <c r="L276" i="1"/>
  <c r="K276" i="1"/>
  <c r="J276" i="1"/>
  <c r="G276" i="1"/>
  <c r="D276" i="1"/>
  <c r="U275" i="1"/>
  <c r="S275" i="1"/>
  <c r="L275" i="1"/>
  <c r="K275" i="1"/>
  <c r="J275" i="1"/>
  <c r="G275" i="1"/>
  <c r="D275" i="1"/>
  <c r="U274" i="1"/>
  <c r="S274" i="1"/>
  <c r="L274" i="1"/>
  <c r="K274" i="1"/>
  <c r="J274" i="1"/>
  <c r="G274" i="1"/>
  <c r="D274" i="1"/>
  <c r="U273" i="1"/>
  <c r="S273" i="1"/>
  <c r="M273" i="1"/>
  <c r="L273" i="1"/>
  <c r="K273" i="1"/>
  <c r="T273" i="1" s="1"/>
  <c r="J273" i="1"/>
  <c r="G273" i="1"/>
  <c r="D273" i="1"/>
  <c r="S272" i="1"/>
  <c r="M272" i="1"/>
  <c r="L272" i="1"/>
  <c r="U272" i="1" s="1"/>
  <c r="K272" i="1"/>
  <c r="T272" i="1" s="1"/>
  <c r="J272" i="1"/>
  <c r="G272" i="1"/>
  <c r="D272" i="1"/>
  <c r="S271" i="1"/>
  <c r="L271" i="1"/>
  <c r="U271" i="1" s="1"/>
  <c r="K271" i="1"/>
  <c r="J271" i="1"/>
  <c r="G271" i="1"/>
  <c r="D271" i="1"/>
  <c r="S270" i="1"/>
  <c r="M270" i="1"/>
  <c r="L270" i="1"/>
  <c r="U270" i="1" s="1"/>
  <c r="K270" i="1"/>
  <c r="T270" i="1" s="1"/>
  <c r="V270" i="1" s="1"/>
  <c r="J270" i="1"/>
  <c r="G270" i="1"/>
  <c r="D270" i="1"/>
  <c r="S269" i="1"/>
  <c r="L269" i="1"/>
  <c r="U269" i="1" s="1"/>
  <c r="K269" i="1"/>
  <c r="T269" i="1" s="1"/>
  <c r="J269" i="1"/>
  <c r="G269" i="1"/>
  <c r="D269" i="1"/>
  <c r="T268" i="1"/>
  <c r="S268" i="1"/>
  <c r="M268" i="1"/>
  <c r="L268" i="1"/>
  <c r="U268" i="1" s="1"/>
  <c r="V268" i="1" s="1"/>
  <c r="K268" i="1"/>
  <c r="J268" i="1"/>
  <c r="G268" i="1"/>
  <c r="D268" i="1"/>
  <c r="U267" i="1"/>
  <c r="S267" i="1"/>
  <c r="M267" i="1"/>
  <c r="L267" i="1"/>
  <c r="K267" i="1"/>
  <c r="T267" i="1" s="1"/>
  <c r="V267" i="1" s="1"/>
  <c r="J267" i="1"/>
  <c r="G267" i="1"/>
  <c r="D267" i="1"/>
  <c r="S266" i="1"/>
  <c r="L266" i="1"/>
  <c r="U266" i="1" s="1"/>
  <c r="K266" i="1"/>
  <c r="J266" i="1"/>
  <c r="G266" i="1"/>
  <c r="D266" i="1"/>
  <c r="S265" i="1"/>
  <c r="L265" i="1"/>
  <c r="U265" i="1" s="1"/>
  <c r="K265" i="1"/>
  <c r="T265" i="1" s="1"/>
  <c r="J265" i="1"/>
  <c r="G265" i="1"/>
  <c r="D265" i="1"/>
  <c r="T264" i="1"/>
  <c r="S264" i="1"/>
  <c r="L264" i="1"/>
  <c r="K264" i="1"/>
  <c r="J264" i="1"/>
  <c r="G264" i="1"/>
  <c r="D264" i="1"/>
  <c r="U263" i="1"/>
  <c r="S263" i="1"/>
  <c r="L263" i="1"/>
  <c r="K263" i="1"/>
  <c r="J263" i="1"/>
  <c r="G263" i="1"/>
  <c r="D263" i="1"/>
  <c r="S262" i="1"/>
  <c r="L262" i="1"/>
  <c r="U262" i="1" s="1"/>
  <c r="K262" i="1"/>
  <c r="J262" i="1"/>
  <c r="G262" i="1"/>
  <c r="D262" i="1"/>
  <c r="S261" i="1"/>
  <c r="L261" i="1"/>
  <c r="K261" i="1"/>
  <c r="T261" i="1" s="1"/>
  <c r="J261" i="1"/>
  <c r="G261" i="1"/>
  <c r="D261" i="1"/>
  <c r="S260" i="1"/>
  <c r="L260" i="1"/>
  <c r="U260" i="1" s="1"/>
  <c r="K260" i="1"/>
  <c r="J260" i="1"/>
  <c r="G260" i="1"/>
  <c r="D260" i="1"/>
  <c r="U259" i="1"/>
  <c r="S259" i="1"/>
  <c r="M259" i="1"/>
  <c r="L259" i="1"/>
  <c r="K259" i="1"/>
  <c r="T259" i="1" s="1"/>
  <c r="J259" i="1"/>
  <c r="G259" i="1"/>
  <c r="D259" i="1"/>
  <c r="S258" i="1"/>
  <c r="L258" i="1"/>
  <c r="U258" i="1" s="1"/>
  <c r="K258" i="1"/>
  <c r="J258" i="1"/>
  <c r="G258" i="1"/>
  <c r="D258" i="1"/>
  <c r="S257" i="1"/>
  <c r="L257" i="1"/>
  <c r="U257" i="1" s="1"/>
  <c r="K257" i="1"/>
  <c r="J257" i="1"/>
  <c r="G257" i="1"/>
  <c r="D257" i="1"/>
  <c r="T256" i="1"/>
  <c r="S256" i="1"/>
  <c r="L256" i="1"/>
  <c r="K256" i="1"/>
  <c r="J256" i="1"/>
  <c r="G256" i="1"/>
  <c r="D256" i="1"/>
  <c r="U255" i="1"/>
  <c r="S255" i="1"/>
  <c r="L255" i="1"/>
  <c r="K255" i="1"/>
  <c r="J255" i="1"/>
  <c r="G255" i="1"/>
  <c r="D255" i="1"/>
  <c r="S254" i="1"/>
  <c r="L254" i="1"/>
  <c r="U254" i="1" s="1"/>
  <c r="K254" i="1"/>
  <c r="J254" i="1"/>
  <c r="G254" i="1"/>
  <c r="D254" i="1"/>
  <c r="S251" i="1"/>
  <c r="L251" i="1"/>
  <c r="U251" i="1" s="1"/>
  <c r="K251" i="1"/>
  <c r="J251" i="1"/>
  <c r="G251" i="1"/>
  <c r="D251" i="1"/>
  <c r="T250" i="1"/>
  <c r="S250" i="1"/>
  <c r="L250" i="1"/>
  <c r="K250" i="1"/>
  <c r="J250" i="1"/>
  <c r="G250" i="1"/>
  <c r="D250" i="1"/>
  <c r="U249" i="1"/>
  <c r="S249" i="1"/>
  <c r="L249" i="1"/>
  <c r="K249" i="1"/>
  <c r="J249" i="1"/>
  <c r="G249" i="1"/>
  <c r="D249" i="1"/>
  <c r="S248" i="1"/>
  <c r="L248" i="1"/>
  <c r="U248" i="1" s="1"/>
  <c r="K248" i="1"/>
  <c r="J248" i="1"/>
  <c r="G248" i="1"/>
  <c r="D248" i="1"/>
  <c r="U247" i="1"/>
  <c r="S247" i="1"/>
  <c r="L247" i="1"/>
  <c r="K247" i="1"/>
  <c r="J247" i="1"/>
  <c r="G247" i="1"/>
  <c r="D247" i="1"/>
  <c r="V246" i="1"/>
  <c r="T246" i="1"/>
  <c r="S246" i="1"/>
  <c r="M246" i="1"/>
  <c r="L246" i="1"/>
  <c r="U246" i="1" s="1"/>
  <c r="K246" i="1"/>
  <c r="J246" i="1"/>
  <c r="G246" i="1"/>
  <c r="D246" i="1"/>
  <c r="T245" i="1"/>
  <c r="S245" i="1"/>
  <c r="L245" i="1"/>
  <c r="U245" i="1" s="1"/>
  <c r="K245" i="1"/>
  <c r="J245" i="1"/>
  <c r="G245" i="1"/>
  <c r="D245" i="1"/>
  <c r="T244" i="1"/>
  <c r="S244" i="1"/>
  <c r="L244" i="1"/>
  <c r="K244" i="1"/>
  <c r="J244" i="1"/>
  <c r="G244" i="1"/>
  <c r="D244" i="1"/>
  <c r="S243" i="1"/>
  <c r="L243" i="1"/>
  <c r="K243" i="1"/>
  <c r="T243" i="1" s="1"/>
  <c r="J243" i="1"/>
  <c r="G243" i="1"/>
  <c r="D243" i="1"/>
  <c r="V242" i="1"/>
  <c r="T242" i="1"/>
  <c r="S242" i="1"/>
  <c r="M242" i="1"/>
  <c r="L242" i="1"/>
  <c r="U242" i="1" s="1"/>
  <c r="K242" i="1"/>
  <c r="J242" i="1"/>
  <c r="G242" i="1"/>
  <c r="D242" i="1"/>
  <c r="U241" i="1"/>
  <c r="T241" i="1"/>
  <c r="V241" i="1" s="1"/>
  <c r="S241" i="1"/>
  <c r="M241" i="1"/>
  <c r="L241" i="1"/>
  <c r="K241" i="1"/>
  <c r="J241" i="1"/>
  <c r="G241" i="1"/>
  <c r="D241" i="1"/>
  <c r="U240" i="1"/>
  <c r="T240" i="1"/>
  <c r="V240" i="1" s="1"/>
  <c r="S240" i="1"/>
  <c r="L240" i="1"/>
  <c r="K240" i="1"/>
  <c r="J240" i="1"/>
  <c r="G240" i="1"/>
  <c r="D240" i="1"/>
  <c r="U239" i="1"/>
  <c r="V239" i="1" s="1"/>
  <c r="T239" i="1"/>
  <c r="S239" i="1"/>
  <c r="M239" i="1"/>
  <c r="L239" i="1"/>
  <c r="K239" i="1"/>
  <c r="J239" i="1"/>
  <c r="G239" i="1"/>
  <c r="D239" i="1"/>
  <c r="T238" i="1"/>
  <c r="S238" i="1"/>
  <c r="L238" i="1"/>
  <c r="K238" i="1"/>
  <c r="J238" i="1"/>
  <c r="G238" i="1"/>
  <c r="D238" i="1"/>
  <c r="V237" i="1"/>
  <c r="U237" i="1"/>
  <c r="T237" i="1"/>
  <c r="S237" i="1"/>
  <c r="M237" i="1"/>
  <c r="L237" i="1"/>
  <c r="K237" i="1"/>
  <c r="J237" i="1"/>
  <c r="G237" i="1"/>
  <c r="D237" i="1"/>
  <c r="V236" i="1"/>
  <c r="U236" i="1"/>
  <c r="T236" i="1"/>
  <c r="S236" i="1"/>
  <c r="L236" i="1"/>
  <c r="K236" i="1"/>
  <c r="J236" i="1"/>
  <c r="G236" i="1"/>
  <c r="D236" i="1"/>
  <c r="S235" i="1"/>
  <c r="L235" i="1"/>
  <c r="U235" i="1" s="1"/>
  <c r="K235" i="1"/>
  <c r="J235" i="1"/>
  <c r="G235" i="1"/>
  <c r="D235" i="1"/>
  <c r="T234" i="1"/>
  <c r="V234" i="1" s="1"/>
  <c r="S234" i="1"/>
  <c r="L234" i="1"/>
  <c r="U234" i="1" s="1"/>
  <c r="K234" i="1"/>
  <c r="M234" i="1" s="1"/>
  <c r="J234" i="1"/>
  <c r="G234" i="1"/>
  <c r="D234" i="1"/>
  <c r="U233" i="1"/>
  <c r="T233" i="1"/>
  <c r="V233" i="1" s="1"/>
  <c r="S233" i="1"/>
  <c r="L233" i="1"/>
  <c r="K233" i="1"/>
  <c r="M233" i="1" s="1"/>
  <c r="J233" i="1"/>
  <c r="G233" i="1"/>
  <c r="D233" i="1"/>
  <c r="U232" i="1"/>
  <c r="S232" i="1"/>
  <c r="L232" i="1"/>
  <c r="K232" i="1"/>
  <c r="M232" i="1" s="1"/>
  <c r="J232" i="1"/>
  <c r="G232" i="1"/>
  <c r="D232" i="1"/>
  <c r="U231" i="1"/>
  <c r="S231" i="1"/>
  <c r="L231" i="1"/>
  <c r="K231" i="1"/>
  <c r="J231" i="1"/>
  <c r="G231" i="1"/>
  <c r="D231" i="1"/>
  <c r="V230" i="1"/>
  <c r="T230" i="1"/>
  <c r="S230" i="1"/>
  <c r="M230" i="1"/>
  <c r="L230" i="1"/>
  <c r="U230" i="1" s="1"/>
  <c r="K230" i="1"/>
  <c r="J230" i="1"/>
  <c r="G230" i="1"/>
  <c r="D230" i="1"/>
  <c r="U229" i="1"/>
  <c r="T229" i="1"/>
  <c r="V229" i="1" s="1"/>
  <c r="S229" i="1"/>
  <c r="M229" i="1"/>
  <c r="L229" i="1"/>
  <c r="K229" i="1"/>
  <c r="J229" i="1"/>
  <c r="G229" i="1"/>
  <c r="D229" i="1"/>
  <c r="U228" i="1"/>
  <c r="T228" i="1"/>
  <c r="V228" i="1" s="1"/>
  <c r="S228" i="1"/>
  <c r="L228" i="1"/>
  <c r="K228" i="1"/>
  <c r="M228" i="1" s="1"/>
  <c r="J228" i="1"/>
  <c r="G228" i="1"/>
  <c r="D228" i="1"/>
  <c r="V227" i="1"/>
  <c r="U227" i="1"/>
  <c r="T227" i="1"/>
  <c r="S227" i="1"/>
  <c r="M227" i="1"/>
  <c r="L227" i="1"/>
  <c r="K227" i="1"/>
  <c r="J227" i="1"/>
  <c r="G227" i="1"/>
  <c r="D227" i="1"/>
  <c r="U226" i="1"/>
  <c r="V226" i="1" s="1"/>
  <c r="T226" i="1"/>
  <c r="S226" i="1"/>
  <c r="L226" i="1"/>
  <c r="M226" i="1" s="1"/>
  <c r="K226" i="1"/>
  <c r="J226" i="1"/>
  <c r="G226" i="1"/>
  <c r="D226" i="1"/>
  <c r="U225" i="1"/>
  <c r="S225" i="1"/>
  <c r="M225" i="1"/>
  <c r="L225" i="1"/>
  <c r="K225" i="1"/>
  <c r="T225" i="1" s="1"/>
  <c r="V225" i="1" s="1"/>
  <c r="J225" i="1"/>
  <c r="G225" i="1"/>
  <c r="D225" i="1"/>
  <c r="S224" i="1"/>
  <c r="L224" i="1"/>
  <c r="U224" i="1" s="1"/>
  <c r="K224" i="1"/>
  <c r="T224" i="1" s="1"/>
  <c r="V224" i="1" s="1"/>
  <c r="J224" i="1"/>
  <c r="G224" i="1"/>
  <c r="D224" i="1"/>
  <c r="U223" i="1"/>
  <c r="S223" i="1"/>
  <c r="L223" i="1"/>
  <c r="K223" i="1"/>
  <c r="J223" i="1"/>
  <c r="G223" i="1"/>
  <c r="D223" i="1"/>
  <c r="V222" i="1"/>
  <c r="T222" i="1"/>
  <c r="S222" i="1"/>
  <c r="M222" i="1"/>
  <c r="L222" i="1"/>
  <c r="U222" i="1" s="1"/>
  <c r="K222" i="1"/>
  <c r="J222" i="1"/>
  <c r="G222" i="1"/>
  <c r="D222" i="1"/>
  <c r="T221" i="1"/>
  <c r="V221" i="1" s="1"/>
  <c r="S221" i="1"/>
  <c r="L221" i="1"/>
  <c r="U221" i="1" s="1"/>
  <c r="K221" i="1"/>
  <c r="J221" i="1"/>
  <c r="G221" i="1"/>
  <c r="D221" i="1"/>
  <c r="V220" i="1"/>
  <c r="T220" i="1"/>
  <c r="S220" i="1"/>
  <c r="L220" i="1"/>
  <c r="U220" i="1" s="1"/>
  <c r="K220" i="1"/>
  <c r="M220" i="1" s="1"/>
  <c r="J220" i="1"/>
  <c r="G220" i="1"/>
  <c r="D220" i="1"/>
  <c r="U219" i="1"/>
  <c r="S219" i="1"/>
  <c r="L219" i="1"/>
  <c r="K219" i="1"/>
  <c r="T219" i="1" s="1"/>
  <c r="J219" i="1"/>
  <c r="G219" i="1"/>
  <c r="D219" i="1"/>
  <c r="T218" i="1"/>
  <c r="V218" i="1" s="1"/>
  <c r="S218" i="1"/>
  <c r="M218" i="1"/>
  <c r="L218" i="1"/>
  <c r="U218" i="1" s="1"/>
  <c r="K218" i="1"/>
  <c r="J218" i="1"/>
  <c r="G218" i="1"/>
  <c r="D218" i="1"/>
  <c r="U217" i="1"/>
  <c r="T217" i="1"/>
  <c r="V217" i="1" s="1"/>
  <c r="S217" i="1"/>
  <c r="M217" i="1"/>
  <c r="L217" i="1"/>
  <c r="K217" i="1"/>
  <c r="J217" i="1"/>
  <c r="G217" i="1"/>
  <c r="D217" i="1"/>
  <c r="U216" i="1"/>
  <c r="T216" i="1"/>
  <c r="V216" i="1" s="1"/>
  <c r="S216" i="1"/>
  <c r="L216" i="1"/>
  <c r="K216" i="1"/>
  <c r="M216" i="1" s="1"/>
  <c r="J216" i="1"/>
  <c r="G216" i="1"/>
  <c r="D216" i="1"/>
  <c r="U215" i="1"/>
  <c r="S215" i="1"/>
  <c r="M215" i="1"/>
  <c r="L215" i="1"/>
  <c r="K215" i="1"/>
  <c r="T215" i="1" s="1"/>
  <c r="V215" i="1" s="1"/>
  <c r="J215" i="1"/>
  <c r="G215" i="1"/>
  <c r="D215" i="1"/>
  <c r="T214" i="1"/>
  <c r="S214" i="1"/>
  <c r="L214" i="1"/>
  <c r="K214" i="1"/>
  <c r="J214" i="1"/>
  <c r="G214" i="1"/>
  <c r="D214" i="1"/>
  <c r="U213" i="1"/>
  <c r="S213" i="1"/>
  <c r="L213" i="1"/>
  <c r="K213" i="1"/>
  <c r="T213" i="1" s="1"/>
  <c r="V213" i="1" s="1"/>
  <c r="J213" i="1"/>
  <c r="G213" i="1"/>
  <c r="D213" i="1"/>
  <c r="T212" i="1"/>
  <c r="S212" i="1"/>
  <c r="L212" i="1"/>
  <c r="U212" i="1" s="1"/>
  <c r="K212" i="1"/>
  <c r="J212" i="1"/>
  <c r="G212" i="1"/>
  <c r="D212" i="1"/>
  <c r="S211" i="1"/>
  <c r="L211" i="1"/>
  <c r="U211" i="1" s="1"/>
  <c r="K211" i="1"/>
  <c r="J211" i="1"/>
  <c r="G211" i="1"/>
  <c r="D211" i="1"/>
  <c r="S210" i="1"/>
  <c r="L210" i="1"/>
  <c r="U210" i="1" s="1"/>
  <c r="K210" i="1"/>
  <c r="J210" i="1"/>
  <c r="G210" i="1"/>
  <c r="D210" i="1"/>
  <c r="T207" i="1"/>
  <c r="S207" i="1"/>
  <c r="L207" i="1"/>
  <c r="U207" i="1" s="1"/>
  <c r="K207" i="1"/>
  <c r="M207" i="1" s="1"/>
  <c r="J207" i="1"/>
  <c r="G207" i="1"/>
  <c r="D207" i="1"/>
  <c r="V206" i="1"/>
  <c r="U206" i="1"/>
  <c r="T206" i="1"/>
  <c r="S206" i="1"/>
  <c r="L206" i="1"/>
  <c r="K206" i="1"/>
  <c r="M206" i="1" s="1"/>
  <c r="J206" i="1"/>
  <c r="G206" i="1"/>
  <c r="D206" i="1"/>
  <c r="U205" i="1"/>
  <c r="S205" i="1"/>
  <c r="L205" i="1"/>
  <c r="K205" i="1"/>
  <c r="J205" i="1"/>
  <c r="G205" i="1"/>
  <c r="D205" i="1"/>
  <c r="T204" i="1"/>
  <c r="V204" i="1" s="1"/>
  <c r="S204" i="1"/>
  <c r="M204" i="1"/>
  <c r="L204" i="1"/>
  <c r="U204" i="1" s="1"/>
  <c r="K204" i="1"/>
  <c r="J204" i="1"/>
  <c r="G204" i="1"/>
  <c r="D204" i="1"/>
  <c r="U203" i="1"/>
  <c r="S203" i="1"/>
  <c r="L203" i="1"/>
  <c r="K203" i="1"/>
  <c r="M203" i="1" s="1"/>
  <c r="J203" i="1"/>
  <c r="G203" i="1"/>
  <c r="D203" i="1"/>
  <c r="U202" i="1"/>
  <c r="S202" i="1"/>
  <c r="L202" i="1"/>
  <c r="K202" i="1"/>
  <c r="J202" i="1"/>
  <c r="G202" i="1"/>
  <c r="D202" i="1"/>
  <c r="S201" i="1"/>
  <c r="L201" i="1"/>
  <c r="U201" i="1" s="1"/>
  <c r="V201" i="1" s="1"/>
  <c r="K201" i="1"/>
  <c r="T201" i="1" s="1"/>
  <c r="J201" i="1"/>
  <c r="G201" i="1"/>
  <c r="D201" i="1"/>
  <c r="V200" i="1"/>
  <c r="T200" i="1"/>
  <c r="S200" i="1"/>
  <c r="L200" i="1"/>
  <c r="U200" i="1" s="1"/>
  <c r="K200" i="1"/>
  <c r="M200" i="1" s="1"/>
  <c r="J200" i="1"/>
  <c r="G200" i="1"/>
  <c r="D200" i="1"/>
  <c r="U199" i="1"/>
  <c r="T199" i="1"/>
  <c r="S199" i="1"/>
  <c r="L199" i="1"/>
  <c r="K199" i="1"/>
  <c r="M199" i="1" s="1"/>
  <c r="J199" i="1"/>
  <c r="G199" i="1"/>
  <c r="D199" i="1"/>
  <c r="U198" i="1"/>
  <c r="S198" i="1"/>
  <c r="L198" i="1"/>
  <c r="K198" i="1"/>
  <c r="J198" i="1"/>
  <c r="G198" i="1"/>
  <c r="D198" i="1"/>
  <c r="T197" i="1"/>
  <c r="S197" i="1"/>
  <c r="L197" i="1"/>
  <c r="M197" i="1" s="1"/>
  <c r="K197" i="1"/>
  <c r="J197" i="1"/>
  <c r="G197" i="1"/>
  <c r="D197" i="1"/>
  <c r="V196" i="1"/>
  <c r="U196" i="1"/>
  <c r="T196" i="1"/>
  <c r="S196" i="1"/>
  <c r="M196" i="1"/>
  <c r="L196" i="1"/>
  <c r="K196" i="1"/>
  <c r="J196" i="1"/>
  <c r="G196" i="1"/>
  <c r="D196" i="1"/>
  <c r="U195" i="1"/>
  <c r="S195" i="1"/>
  <c r="L195" i="1"/>
  <c r="K195" i="1"/>
  <c r="J195" i="1"/>
  <c r="G195" i="1"/>
  <c r="D195" i="1"/>
  <c r="S194" i="1"/>
  <c r="L194" i="1"/>
  <c r="U194" i="1" s="1"/>
  <c r="K194" i="1"/>
  <c r="J194" i="1"/>
  <c r="G194" i="1"/>
  <c r="D194" i="1"/>
  <c r="S191" i="1"/>
  <c r="L191" i="1"/>
  <c r="U191" i="1" s="1"/>
  <c r="K191" i="1"/>
  <c r="J191" i="1"/>
  <c r="G191" i="1"/>
  <c r="D191" i="1"/>
  <c r="S190" i="1"/>
  <c r="L190" i="1"/>
  <c r="U190" i="1" s="1"/>
  <c r="K190" i="1"/>
  <c r="J190" i="1"/>
  <c r="G190" i="1"/>
  <c r="D190" i="1"/>
  <c r="S189" i="1"/>
  <c r="L189" i="1"/>
  <c r="U189" i="1" s="1"/>
  <c r="K189" i="1"/>
  <c r="J189" i="1"/>
  <c r="G189" i="1"/>
  <c r="D189" i="1"/>
  <c r="V188" i="1"/>
  <c r="S188" i="1"/>
  <c r="L188" i="1"/>
  <c r="U188" i="1" s="1"/>
  <c r="K188" i="1"/>
  <c r="T188" i="1" s="1"/>
  <c r="J188" i="1"/>
  <c r="G188" i="1"/>
  <c r="D188" i="1"/>
  <c r="S187" i="1"/>
  <c r="M187" i="1"/>
  <c r="L187" i="1"/>
  <c r="U187" i="1" s="1"/>
  <c r="K187" i="1"/>
  <c r="T187" i="1" s="1"/>
  <c r="J187" i="1"/>
  <c r="G187" i="1"/>
  <c r="D187" i="1"/>
  <c r="S186" i="1"/>
  <c r="L186" i="1"/>
  <c r="U186" i="1" s="1"/>
  <c r="K186" i="1"/>
  <c r="T186" i="1" s="1"/>
  <c r="V186" i="1" s="1"/>
  <c r="J186" i="1"/>
  <c r="G186" i="1"/>
  <c r="D186" i="1"/>
  <c r="S185" i="1"/>
  <c r="L185" i="1"/>
  <c r="U185" i="1" s="1"/>
  <c r="K185" i="1"/>
  <c r="T185" i="1" s="1"/>
  <c r="J185" i="1"/>
  <c r="G185" i="1"/>
  <c r="D185" i="1"/>
  <c r="S184" i="1"/>
  <c r="L184" i="1"/>
  <c r="U184" i="1" s="1"/>
  <c r="K184" i="1"/>
  <c r="J184" i="1"/>
  <c r="G184" i="1"/>
  <c r="D184" i="1"/>
  <c r="S183" i="1"/>
  <c r="L183" i="1"/>
  <c r="U183" i="1" s="1"/>
  <c r="K183" i="1"/>
  <c r="J183" i="1"/>
  <c r="G183" i="1"/>
  <c r="D183" i="1"/>
  <c r="T182" i="1"/>
  <c r="V182" i="1" s="1"/>
  <c r="S182" i="1"/>
  <c r="M182" i="1"/>
  <c r="L182" i="1"/>
  <c r="U182" i="1" s="1"/>
  <c r="K182" i="1"/>
  <c r="J182" i="1"/>
  <c r="G182" i="1"/>
  <c r="D182" i="1"/>
  <c r="U181" i="1"/>
  <c r="S181" i="1"/>
  <c r="M181" i="1"/>
  <c r="L181" i="1"/>
  <c r="K181" i="1"/>
  <c r="T181" i="1" s="1"/>
  <c r="J181" i="1"/>
  <c r="G181" i="1"/>
  <c r="D181" i="1"/>
  <c r="V180" i="1"/>
  <c r="T180" i="1"/>
  <c r="S180" i="1"/>
  <c r="L180" i="1"/>
  <c r="U180" i="1" s="1"/>
  <c r="K180" i="1"/>
  <c r="J180" i="1"/>
  <c r="G180" i="1"/>
  <c r="D180" i="1"/>
  <c r="T179" i="1"/>
  <c r="V179" i="1" s="1"/>
  <c r="S179" i="1"/>
  <c r="M179" i="1"/>
  <c r="L179" i="1"/>
  <c r="U179" i="1" s="1"/>
  <c r="K179" i="1"/>
  <c r="J179" i="1"/>
  <c r="G179" i="1"/>
  <c r="D179" i="1"/>
  <c r="T178" i="1"/>
  <c r="S178" i="1"/>
  <c r="L178" i="1"/>
  <c r="U178" i="1" s="1"/>
  <c r="V178" i="1" s="1"/>
  <c r="K178" i="1"/>
  <c r="J178" i="1"/>
  <c r="G178" i="1"/>
  <c r="D178" i="1"/>
  <c r="T175" i="1"/>
  <c r="S175" i="1"/>
  <c r="L175" i="1"/>
  <c r="K175" i="1"/>
  <c r="J175" i="1"/>
  <c r="G175" i="1"/>
  <c r="D175" i="1"/>
  <c r="V174" i="1"/>
  <c r="T174" i="1"/>
  <c r="S174" i="1"/>
  <c r="M174" i="1"/>
  <c r="L174" i="1"/>
  <c r="U174" i="1" s="1"/>
  <c r="K174" i="1"/>
  <c r="J174" i="1"/>
  <c r="G174" i="1"/>
  <c r="D174" i="1"/>
  <c r="U173" i="1"/>
  <c r="S173" i="1"/>
  <c r="M173" i="1"/>
  <c r="L173" i="1"/>
  <c r="K173" i="1"/>
  <c r="T173" i="1" s="1"/>
  <c r="V173" i="1" s="1"/>
  <c r="J173" i="1"/>
  <c r="G173" i="1"/>
  <c r="D173" i="1"/>
  <c r="T172" i="1"/>
  <c r="V172" i="1" s="1"/>
  <c r="S172" i="1"/>
  <c r="M172" i="1"/>
  <c r="L172" i="1"/>
  <c r="U172" i="1" s="1"/>
  <c r="K172" i="1"/>
  <c r="J172" i="1"/>
  <c r="G172" i="1"/>
  <c r="D172" i="1"/>
  <c r="T171" i="1"/>
  <c r="S171" i="1"/>
  <c r="M171" i="1"/>
  <c r="L171" i="1"/>
  <c r="U171" i="1" s="1"/>
  <c r="K171" i="1"/>
  <c r="J171" i="1"/>
  <c r="G171" i="1"/>
  <c r="D171" i="1"/>
  <c r="U170" i="1"/>
  <c r="T170" i="1"/>
  <c r="V170" i="1" s="1"/>
  <c r="S170" i="1"/>
  <c r="L170" i="1"/>
  <c r="K170" i="1"/>
  <c r="M170" i="1" s="1"/>
  <c r="J170" i="1"/>
  <c r="G170" i="1"/>
  <c r="D170" i="1"/>
  <c r="U169" i="1"/>
  <c r="V169" i="1" s="1"/>
  <c r="T169" i="1"/>
  <c r="S169" i="1"/>
  <c r="L169" i="1"/>
  <c r="K169" i="1"/>
  <c r="M169" i="1" s="1"/>
  <c r="J169" i="1"/>
  <c r="G169" i="1"/>
  <c r="D169" i="1"/>
  <c r="U168" i="1"/>
  <c r="T168" i="1"/>
  <c r="V168" i="1" s="1"/>
  <c r="S168" i="1"/>
  <c r="M168" i="1"/>
  <c r="L168" i="1"/>
  <c r="K168" i="1"/>
  <c r="J168" i="1"/>
  <c r="G168" i="1"/>
  <c r="D168" i="1"/>
  <c r="U167" i="1"/>
  <c r="T167" i="1"/>
  <c r="S167" i="1"/>
  <c r="M167" i="1"/>
  <c r="L167" i="1"/>
  <c r="K167" i="1"/>
  <c r="J167" i="1"/>
  <c r="G167" i="1"/>
  <c r="D167" i="1"/>
  <c r="U166" i="1"/>
  <c r="V166" i="1" s="1"/>
  <c r="T166" i="1"/>
  <c r="S166" i="1"/>
  <c r="L166" i="1"/>
  <c r="K166" i="1"/>
  <c r="J166" i="1"/>
  <c r="G166" i="1"/>
  <c r="D166" i="1"/>
  <c r="T165" i="1"/>
  <c r="S165" i="1"/>
  <c r="L165" i="1"/>
  <c r="M165" i="1" s="1"/>
  <c r="K165" i="1"/>
  <c r="J165" i="1"/>
  <c r="G165" i="1"/>
  <c r="D165" i="1"/>
  <c r="T164" i="1"/>
  <c r="S164" i="1"/>
  <c r="L164" i="1"/>
  <c r="K164" i="1"/>
  <c r="J164" i="1"/>
  <c r="G164" i="1"/>
  <c r="D164" i="1"/>
  <c r="T163" i="1"/>
  <c r="S163" i="1"/>
  <c r="L163" i="1"/>
  <c r="M163" i="1" s="1"/>
  <c r="K163" i="1"/>
  <c r="J163" i="1"/>
  <c r="G163" i="1"/>
  <c r="D163" i="1"/>
  <c r="U162" i="1"/>
  <c r="S162" i="1"/>
  <c r="L162" i="1"/>
  <c r="K162" i="1"/>
  <c r="T162" i="1" s="1"/>
  <c r="J162" i="1"/>
  <c r="G162" i="1"/>
  <c r="D162" i="1"/>
  <c r="V161" i="1"/>
  <c r="U161" i="1"/>
  <c r="S161" i="1"/>
  <c r="M161" i="1"/>
  <c r="L161" i="1"/>
  <c r="K161" i="1"/>
  <c r="T161" i="1" s="1"/>
  <c r="J161" i="1"/>
  <c r="G161" i="1"/>
  <c r="D161" i="1"/>
  <c r="T160" i="1"/>
  <c r="V160" i="1" s="1"/>
  <c r="S160" i="1"/>
  <c r="M160" i="1"/>
  <c r="L160" i="1"/>
  <c r="U160" i="1" s="1"/>
  <c r="K160" i="1"/>
  <c r="J160" i="1"/>
  <c r="G160" i="1"/>
  <c r="D160" i="1"/>
  <c r="U159" i="1"/>
  <c r="S159" i="1"/>
  <c r="L159" i="1"/>
  <c r="K159" i="1"/>
  <c r="J159" i="1"/>
  <c r="G159" i="1"/>
  <c r="D159" i="1"/>
  <c r="S158" i="1"/>
  <c r="L158" i="1"/>
  <c r="U158" i="1" s="1"/>
  <c r="K158" i="1"/>
  <c r="J158" i="1"/>
  <c r="G158" i="1"/>
  <c r="D158" i="1"/>
  <c r="V157" i="1"/>
  <c r="S157" i="1"/>
  <c r="M157" i="1"/>
  <c r="L157" i="1"/>
  <c r="U157" i="1" s="1"/>
  <c r="K157" i="1"/>
  <c r="T157" i="1" s="1"/>
  <c r="J157" i="1"/>
  <c r="G157" i="1"/>
  <c r="D157" i="1"/>
  <c r="T156" i="1"/>
  <c r="V156" i="1" s="1"/>
  <c r="S156" i="1"/>
  <c r="M156" i="1"/>
  <c r="L156" i="1"/>
  <c r="U156" i="1" s="1"/>
  <c r="K156" i="1"/>
  <c r="J156" i="1"/>
  <c r="G156" i="1"/>
  <c r="D156" i="1"/>
  <c r="U155" i="1"/>
  <c r="S155" i="1"/>
  <c r="L155" i="1"/>
  <c r="K155" i="1"/>
  <c r="J155" i="1"/>
  <c r="G155" i="1"/>
  <c r="D155" i="1"/>
  <c r="S154" i="1"/>
  <c r="L154" i="1"/>
  <c r="U154" i="1" s="1"/>
  <c r="K154" i="1"/>
  <c r="M154" i="1" s="1"/>
  <c r="J154" i="1"/>
  <c r="G154" i="1"/>
  <c r="D154" i="1"/>
  <c r="T153" i="1"/>
  <c r="V153" i="1" s="1"/>
  <c r="S153" i="1"/>
  <c r="L153" i="1"/>
  <c r="U153" i="1" s="1"/>
  <c r="K153" i="1"/>
  <c r="J153" i="1"/>
  <c r="G153" i="1"/>
  <c r="D153" i="1"/>
  <c r="T152" i="1"/>
  <c r="V152" i="1" s="1"/>
  <c r="S152" i="1"/>
  <c r="L152" i="1"/>
  <c r="U152" i="1" s="1"/>
  <c r="K152" i="1"/>
  <c r="M152" i="1" s="1"/>
  <c r="J152" i="1"/>
  <c r="G152" i="1"/>
  <c r="D152" i="1"/>
  <c r="S151" i="1"/>
  <c r="M151" i="1"/>
  <c r="L151" i="1"/>
  <c r="U151" i="1" s="1"/>
  <c r="K151" i="1"/>
  <c r="T151" i="1" s="1"/>
  <c r="J151" i="1"/>
  <c r="G151" i="1"/>
  <c r="D151" i="1"/>
  <c r="S150" i="1"/>
  <c r="L150" i="1"/>
  <c r="K150" i="1"/>
  <c r="T150" i="1" s="1"/>
  <c r="J150" i="1"/>
  <c r="G150" i="1"/>
  <c r="D150" i="1"/>
  <c r="V149" i="1"/>
  <c r="T149" i="1"/>
  <c r="S149" i="1"/>
  <c r="M149" i="1"/>
  <c r="L149" i="1"/>
  <c r="U149" i="1" s="1"/>
  <c r="K149" i="1"/>
  <c r="J149" i="1"/>
  <c r="G149" i="1"/>
  <c r="D149" i="1"/>
  <c r="U148" i="1"/>
  <c r="T148" i="1"/>
  <c r="V148" i="1" s="1"/>
  <c r="S148" i="1"/>
  <c r="L148" i="1"/>
  <c r="K148" i="1"/>
  <c r="M148" i="1" s="1"/>
  <c r="J148" i="1"/>
  <c r="G148" i="1"/>
  <c r="D148" i="1"/>
  <c r="V147" i="1"/>
  <c r="U147" i="1"/>
  <c r="T147" i="1"/>
  <c r="S147" i="1"/>
  <c r="L147" i="1"/>
  <c r="K147" i="1"/>
  <c r="M147" i="1" s="1"/>
  <c r="J147" i="1"/>
  <c r="G147" i="1"/>
  <c r="D147" i="1"/>
  <c r="V146" i="1"/>
  <c r="U146" i="1"/>
  <c r="T146" i="1"/>
  <c r="S146" i="1"/>
  <c r="L146" i="1"/>
  <c r="K146" i="1"/>
  <c r="M146" i="1" s="1"/>
  <c r="J146" i="1"/>
  <c r="G146" i="1"/>
  <c r="D146" i="1"/>
  <c r="U145" i="1"/>
  <c r="T145" i="1"/>
  <c r="S145" i="1"/>
  <c r="L145" i="1"/>
  <c r="M145" i="1" s="1"/>
  <c r="K145" i="1"/>
  <c r="J145" i="1"/>
  <c r="G145" i="1"/>
  <c r="D145" i="1"/>
  <c r="U144" i="1"/>
  <c r="S144" i="1"/>
  <c r="M144" i="1"/>
  <c r="L144" i="1"/>
  <c r="K144" i="1"/>
  <c r="T144" i="1" s="1"/>
  <c r="V144" i="1" s="1"/>
  <c r="J144" i="1"/>
  <c r="G144" i="1"/>
  <c r="D144" i="1"/>
  <c r="S143" i="1"/>
  <c r="L143" i="1"/>
  <c r="U143" i="1" s="1"/>
  <c r="K143" i="1"/>
  <c r="J143" i="1"/>
  <c r="G143" i="1"/>
  <c r="D143" i="1"/>
  <c r="V142" i="1"/>
  <c r="S142" i="1"/>
  <c r="L142" i="1"/>
  <c r="U142" i="1" s="1"/>
  <c r="K142" i="1"/>
  <c r="T142" i="1" s="1"/>
  <c r="J142" i="1"/>
  <c r="G142" i="1"/>
  <c r="D142" i="1"/>
  <c r="S141" i="1"/>
  <c r="L141" i="1"/>
  <c r="U141" i="1" s="1"/>
  <c r="K141" i="1"/>
  <c r="J141" i="1"/>
  <c r="G141" i="1"/>
  <c r="D141" i="1"/>
  <c r="S140" i="1"/>
  <c r="L140" i="1"/>
  <c r="U140" i="1" s="1"/>
  <c r="K140" i="1"/>
  <c r="J140" i="1"/>
  <c r="G140" i="1"/>
  <c r="D140" i="1"/>
  <c r="T139" i="1"/>
  <c r="V139" i="1" s="1"/>
  <c r="S139" i="1"/>
  <c r="L139" i="1"/>
  <c r="U139" i="1" s="1"/>
  <c r="K139" i="1"/>
  <c r="J139" i="1"/>
  <c r="G139" i="1"/>
  <c r="D139" i="1"/>
  <c r="U136" i="1"/>
  <c r="S136" i="1"/>
  <c r="M136" i="1"/>
  <c r="L136" i="1"/>
  <c r="K136" i="1"/>
  <c r="T136" i="1" s="1"/>
  <c r="J136" i="1"/>
  <c r="G136" i="1"/>
  <c r="D136" i="1"/>
  <c r="V135" i="1"/>
  <c r="T135" i="1"/>
  <c r="S135" i="1"/>
  <c r="M135" i="1"/>
  <c r="L135" i="1"/>
  <c r="U135" i="1" s="1"/>
  <c r="K135" i="1"/>
  <c r="J135" i="1"/>
  <c r="G135" i="1"/>
  <c r="D135" i="1"/>
  <c r="U134" i="1"/>
  <c r="T134" i="1"/>
  <c r="S134" i="1"/>
  <c r="L134" i="1"/>
  <c r="K134" i="1"/>
  <c r="M134" i="1" s="1"/>
  <c r="J134" i="1"/>
  <c r="G134" i="1"/>
  <c r="D134" i="1"/>
  <c r="V133" i="1"/>
  <c r="U133" i="1"/>
  <c r="T133" i="1"/>
  <c r="S133" i="1"/>
  <c r="L133" i="1"/>
  <c r="K133" i="1"/>
  <c r="M133" i="1" s="1"/>
  <c r="J133" i="1"/>
  <c r="G133" i="1"/>
  <c r="D133" i="1"/>
  <c r="U132" i="1"/>
  <c r="T132" i="1"/>
  <c r="V132" i="1" s="1"/>
  <c r="S132" i="1"/>
  <c r="L132" i="1"/>
  <c r="K132" i="1"/>
  <c r="M132" i="1" s="1"/>
  <c r="J132" i="1"/>
  <c r="G132" i="1"/>
  <c r="D132" i="1"/>
  <c r="T131" i="1"/>
  <c r="S131" i="1"/>
  <c r="L131" i="1"/>
  <c r="K131" i="1"/>
  <c r="J131" i="1"/>
  <c r="G131" i="1"/>
  <c r="D131" i="1"/>
  <c r="U130" i="1"/>
  <c r="S130" i="1"/>
  <c r="L130" i="1"/>
  <c r="K130" i="1"/>
  <c r="J130" i="1"/>
  <c r="G130" i="1"/>
  <c r="D130" i="1"/>
  <c r="U129" i="1"/>
  <c r="S129" i="1"/>
  <c r="L129" i="1"/>
  <c r="K129" i="1"/>
  <c r="J129" i="1"/>
  <c r="G129" i="1"/>
  <c r="D129" i="1"/>
  <c r="V128" i="1"/>
  <c r="S128" i="1"/>
  <c r="L128" i="1"/>
  <c r="U128" i="1" s="1"/>
  <c r="K128" i="1"/>
  <c r="T128" i="1" s="1"/>
  <c r="J128" i="1"/>
  <c r="G128" i="1"/>
  <c r="D128" i="1"/>
  <c r="S127" i="1"/>
  <c r="L127" i="1"/>
  <c r="U127" i="1" s="1"/>
  <c r="K127" i="1"/>
  <c r="J127" i="1"/>
  <c r="G127" i="1"/>
  <c r="D127" i="1"/>
  <c r="S126" i="1"/>
  <c r="L126" i="1"/>
  <c r="U126" i="1" s="1"/>
  <c r="K126" i="1"/>
  <c r="J126" i="1"/>
  <c r="G126" i="1"/>
  <c r="D126" i="1"/>
  <c r="T125" i="1"/>
  <c r="V125" i="1" s="1"/>
  <c r="S125" i="1"/>
  <c r="M125" i="1"/>
  <c r="L125" i="1"/>
  <c r="U125" i="1" s="1"/>
  <c r="K125" i="1"/>
  <c r="J125" i="1"/>
  <c r="G125" i="1"/>
  <c r="D125" i="1"/>
  <c r="U122" i="1"/>
  <c r="S122" i="1"/>
  <c r="M122" i="1"/>
  <c r="L122" i="1"/>
  <c r="K122" i="1"/>
  <c r="T122" i="1" s="1"/>
  <c r="J122" i="1"/>
  <c r="G122" i="1"/>
  <c r="D122" i="1"/>
  <c r="T121" i="1"/>
  <c r="V121" i="1" s="1"/>
  <c r="S121" i="1"/>
  <c r="M121" i="1"/>
  <c r="L121" i="1"/>
  <c r="U121" i="1" s="1"/>
  <c r="K121" i="1"/>
  <c r="J121" i="1"/>
  <c r="G121" i="1"/>
  <c r="D121" i="1"/>
  <c r="U120" i="1"/>
  <c r="S120" i="1"/>
  <c r="L120" i="1"/>
  <c r="K120" i="1"/>
  <c r="J120" i="1"/>
  <c r="G120" i="1"/>
  <c r="D120" i="1"/>
  <c r="T119" i="1"/>
  <c r="S119" i="1"/>
  <c r="L119" i="1"/>
  <c r="K119" i="1"/>
  <c r="J119" i="1"/>
  <c r="G119" i="1"/>
  <c r="D119" i="1"/>
  <c r="U118" i="1"/>
  <c r="S118" i="1"/>
  <c r="L118" i="1"/>
  <c r="K118" i="1"/>
  <c r="T118" i="1" s="1"/>
  <c r="V118" i="1" s="1"/>
  <c r="J118" i="1"/>
  <c r="G118" i="1"/>
  <c r="D118" i="1"/>
  <c r="U117" i="1"/>
  <c r="T117" i="1"/>
  <c r="S117" i="1"/>
  <c r="L117" i="1"/>
  <c r="M117" i="1" s="1"/>
  <c r="K117" i="1"/>
  <c r="J117" i="1"/>
  <c r="G117" i="1"/>
  <c r="D117" i="1"/>
  <c r="V116" i="1"/>
  <c r="U116" i="1"/>
  <c r="S116" i="1"/>
  <c r="M116" i="1"/>
  <c r="L116" i="1"/>
  <c r="K116" i="1"/>
  <c r="T116" i="1" s="1"/>
  <c r="J116" i="1"/>
  <c r="G116" i="1"/>
  <c r="D116" i="1"/>
  <c r="U115" i="1"/>
  <c r="S115" i="1"/>
  <c r="L115" i="1"/>
  <c r="K115" i="1"/>
  <c r="J115" i="1"/>
  <c r="G115" i="1"/>
  <c r="D115" i="1"/>
  <c r="V112" i="1"/>
  <c r="S112" i="1"/>
  <c r="M112" i="1"/>
  <c r="L112" i="1"/>
  <c r="U112" i="1" s="1"/>
  <c r="K112" i="1"/>
  <c r="T112" i="1" s="1"/>
  <c r="J112" i="1"/>
  <c r="G112" i="1"/>
  <c r="D112" i="1"/>
  <c r="S111" i="1"/>
  <c r="L111" i="1"/>
  <c r="U111" i="1" s="1"/>
  <c r="K111" i="1"/>
  <c r="T111" i="1" s="1"/>
  <c r="V111" i="1" s="1"/>
  <c r="J111" i="1"/>
  <c r="G111" i="1"/>
  <c r="D111" i="1"/>
  <c r="S110" i="1"/>
  <c r="L110" i="1"/>
  <c r="U110" i="1" s="1"/>
  <c r="K110" i="1"/>
  <c r="J110" i="1"/>
  <c r="G110" i="1"/>
  <c r="D110" i="1"/>
  <c r="S109" i="1"/>
  <c r="L109" i="1"/>
  <c r="U109" i="1" s="1"/>
  <c r="K109" i="1"/>
  <c r="J109" i="1"/>
  <c r="G109" i="1"/>
  <c r="D109" i="1"/>
  <c r="U108" i="1"/>
  <c r="S108" i="1"/>
  <c r="L108" i="1"/>
  <c r="M108" i="1" s="1"/>
  <c r="K108" i="1"/>
  <c r="T108" i="1" s="1"/>
  <c r="J108" i="1"/>
  <c r="G108" i="1"/>
  <c r="D108" i="1"/>
  <c r="T107" i="1"/>
  <c r="V107" i="1" s="1"/>
  <c r="S107" i="1"/>
  <c r="M107" i="1"/>
  <c r="L107" i="1"/>
  <c r="U107" i="1" s="1"/>
  <c r="K107" i="1"/>
  <c r="J107" i="1"/>
  <c r="G107" i="1"/>
  <c r="D107" i="1"/>
  <c r="U106" i="1"/>
  <c r="T106" i="1"/>
  <c r="S106" i="1"/>
  <c r="L106" i="1"/>
  <c r="K106" i="1"/>
  <c r="M106" i="1" s="1"/>
  <c r="J106" i="1"/>
  <c r="G106" i="1"/>
  <c r="D106" i="1"/>
  <c r="U105" i="1"/>
  <c r="T105" i="1"/>
  <c r="V105" i="1" s="1"/>
  <c r="S105" i="1"/>
  <c r="L105" i="1"/>
  <c r="M105" i="1" s="1"/>
  <c r="K105" i="1"/>
  <c r="J105" i="1"/>
  <c r="G105" i="1"/>
  <c r="D105" i="1"/>
  <c r="U104" i="1"/>
  <c r="T104" i="1"/>
  <c r="V104" i="1" s="1"/>
  <c r="S104" i="1"/>
  <c r="M104" i="1"/>
  <c r="L104" i="1"/>
  <c r="K104" i="1"/>
  <c r="J104" i="1"/>
  <c r="G104" i="1"/>
  <c r="D104" i="1"/>
  <c r="T103" i="1"/>
  <c r="S103" i="1"/>
  <c r="L103" i="1"/>
  <c r="K103" i="1"/>
  <c r="J103" i="1"/>
  <c r="G103" i="1"/>
  <c r="D103" i="1"/>
  <c r="U102" i="1"/>
  <c r="S102" i="1"/>
  <c r="M102" i="1"/>
  <c r="L102" i="1"/>
  <c r="K102" i="1"/>
  <c r="T102" i="1" s="1"/>
  <c r="J102" i="1"/>
  <c r="G102" i="1"/>
  <c r="D102" i="1"/>
  <c r="S101" i="1"/>
  <c r="L101" i="1"/>
  <c r="U101" i="1" s="1"/>
  <c r="K101" i="1"/>
  <c r="J101" i="1"/>
  <c r="G101" i="1"/>
  <c r="D101" i="1"/>
  <c r="V100" i="1"/>
  <c r="S100" i="1"/>
  <c r="L100" i="1"/>
  <c r="U100" i="1" s="1"/>
  <c r="K100" i="1"/>
  <c r="T100" i="1" s="1"/>
  <c r="J100" i="1"/>
  <c r="G100" i="1"/>
  <c r="D100" i="1"/>
  <c r="T99" i="1"/>
  <c r="S99" i="1"/>
  <c r="L99" i="1"/>
  <c r="K99" i="1"/>
  <c r="J99" i="1"/>
  <c r="G99" i="1"/>
  <c r="D99" i="1"/>
  <c r="U96" i="1"/>
  <c r="S96" i="1"/>
  <c r="M96" i="1"/>
  <c r="L96" i="1"/>
  <c r="K96" i="1"/>
  <c r="T96" i="1" s="1"/>
  <c r="J96" i="1"/>
  <c r="G96" i="1"/>
  <c r="D96" i="1"/>
  <c r="T95" i="1"/>
  <c r="S95" i="1"/>
  <c r="M95" i="1"/>
  <c r="L95" i="1"/>
  <c r="U95" i="1" s="1"/>
  <c r="K95" i="1"/>
  <c r="J95" i="1"/>
  <c r="G95" i="1"/>
  <c r="D95" i="1"/>
  <c r="S94" i="1"/>
  <c r="M94" i="1"/>
  <c r="L94" i="1"/>
  <c r="U94" i="1" s="1"/>
  <c r="K94" i="1"/>
  <c r="T94" i="1" s="1"/>
  <c r="V94" i="1" s="1"/>
  <c r="J94" i="1"/>
  <c r="G94" i="1"/>
  <c r="D94" i="1"/>
  <c r="T93" i="1"/>
  <c r="S93" i="1"/>
  <c r="M93" i="1"/>
  <c r="L93" i="1"/>
  <c r="U93" i="1" s="1"/>
  <c r="V93" i="1" s="1"/>
  <c r="K93" i="1"/>
  <c r="J93" i="1"/>
  <c r="G93" i="1"/>
  <c r="D93" i="1"/>
  <c r="S92" i="1"/>
  <c r="L92" i="1"/>
  <c r="U92" i="1" s="1"/>
  <c r="K92" i="1"/>
  <c r="J92" i="1"/>
  <c r="G92" i="1"/>
  <c r="D92" i="1"/>
  <c r="U91" i="1"/>
  <c r="S91" i="1"/>
  <c r="M91" i="1"/>
  <c r="L91" i="1"/>
  <c r="K91" i="1"/>
  <c r="T91" i="1" s="1"/>
  <c r="J91" i="1"/>
  <c r="G91" i="1"/>
  <c r="D91" i="1"/>
  <c r="S90" i="1"/>
  <c r="L90" i="1"/>
  <c r="K90" i="1"/>
  <c r="T90" i="1" s="1"/>
  <c r="J90" i="1"/>
  <c r="G90" i="1"/>
  <c r="D90" i="1"/>
  <c r="T89" i="1"/>
  <c r="S89" i="1"/>
  <c r="L89" i="1"/>
  <c r="K89" i="1"/>
  <c r="J89" i="1"/>
  <c r="G89" i="1"/>
  <c r="D89" i="1"/>
  <c r="U88" i="1"/>
  <c r="T88" i="1"/>
  <c r="V88" i="1" s="1"/>
  <c r="S88" i="1"/>
  <c r="M88" i="1"/>
  <c r="L88" i="1"/>
  <c r="K88" i="1"/>
  <c r="J88" i="1"/>
  <c r="G88" i="1"/>
  <c r="D88" i="1"/>
  <c r="T85" i="1"/>
  <c r="S85" i="1"/>
  <c r="L85" i="1"/>
  <c r="K85" i="1"/>
  <c r="J85" i="1"/>
  <c r="G85" i="1"/>
  <c r="D85" i="1"/>
  <c r="U84" i="1"/>
  <c r="T84" i="1"/>
  <c r="V84" i="1" s="1"/>
  <c r="S84" i="1"/>
  <c r="M84" i="1"/>
  <c r="L84" i="1"/>
  <c r="K84" i="1"/>
  <c r="J84" i="1"/>
  <c r="G84" i="1"/>
  <c r="D84" i="1"/>
  <c r="T83" i="1"/>
  <c r="S83" i="1"/>
  <c r="L83" i="1"/>
  <c r="U83" i="1" s="1"/>
  <c r="K83" i="1"/>
  <c r="M83" i="1" s="1"/>
  <c r="J83" i="1"/>
  <c r="G83" i="1"/>
  <c r="D83" i="1"/>
  <c r="U82" i="1"/>
  <c r="S82" i="1"/>
  <c r="L82" i="1"/>
  <c r="K82" i="1"/>
  <c r="T82" i="1" s="1"/>
  <c r="V82" i="1" s="1"/>
  <c r="J82" i="1"/>
  <c r="G82" i="1"/>
  <c r="D82" i="1"/>
  <c r="V81" i="1"/>
  <c r="U81" i="1"/>
  <c r="T81" i="1"/>
  <c r="S81" i="1"/>
  <c r="L81" i="1"/>
  <c r="K81" i="1"/>
  <c r="J81" i="1"/>
  <c r="G81" i="1"/>
  <c r="D81" i="1"/>
  <c r="U80" i="1"/>
  <c r="S80" i="1"/>
  <c r="M80" i="1"/>
  <c r="L80" i="1"/>
  <c r="K80" i="1"/>
  <c r="T80" i="1" s="1"/>
  <c r="V80" i="1" s="1"/>
  <c r="J80" i="1"/>
  <c r="G80" i="1"/>
  <c r="D80" i="1"/>
  <c r="V79" i="1"/>
  <c r="S79" i="1"/>
  <c r="L79" i="1"/>
  <c r="U79" i="1" s="1"/>
  <c r="K79" i="1"/>
  <c r="T79" i="1" s="1"/>
  <c r="J79" i="1"/>
  <c r="G79" i="1"/>
  <c r="D79" i="1"/>
  <c r="U78" i="1"/>
  <c r="S78" i="1"/>
  <c r="M78" i="1"/>
  <c r="L78" i="1"/>
  <c r="K78" i="1"/>
  <c r="T78" i="1" s="1"/>
  <c r="J78" i="1"/>
  <c r="G78" i="1"/>
  <c r="D78" i="1"/>
  <c r="S77" i="1"/>
  <c r="M77" i="1"/>
  <c r="L77" i="1"/>
  <c r="U77" i="1" s="1"/>
  <c r="K77" i="1"/>
  <c r="T77" i="1" s="1"/>
  <c r="V77" i="1" s="1"/>
  <c r="J77" i="1"/>
  <c r="G77" i="1"/>
  <c r="D77" i="1"/>
  <c r="S76" i="1"/>
  <c r="L76" i="1"/>
  <c r="U76" i="1" s="1"/>
  <c r="K76" i="1"/>
  <c r="T76" i="1" s="1"/>
  <c r="J76" i="1"/>
  <c r="G76" i="1"/>
  <c r="D76" i="1"/>
  <c r="T75" i="1"/>
  <c r="S75" i="1"/>
  <c r="L75" i="1"/>
  <c r="U75" i="1" s="1"/>
  <c r="V75" i="1" s="1"/>
  <c r="K75" i="1"/>
  <c r="J75" i="1"/>
  <c r="G75" i="1"/>
  <c r="D75" i="1"/>
  <c r="U74" i="1"/>
  <c r="S74" i="1"/>
  <c r="L74" i="1"/>
  <c r="K74" i="1"/>
  <c r="M74" i="1" s="1"/>
  <c r="J74" i="1"/>
  <c r="G74" i="1"/>
  <c r="D74" i="1"/>
  <c r="T73" i="1"/>
  <c r="S73" i="1"/>
  <c r="L73" i="1"/>
  <c r="M73" i="1" s="1"/>
  <c r="K73" i="1"/>
  <c r="J73" i="1"/>
  <c r="G73" i="1"/>
  <c r="D73" i="1"/>
  <c r="U72" i="1"/>
  <c r="S72" i="1"/>
  <c r="L72" i="1"/>
  <c r="K72" i="1"/>
  <c r="M72" i="1" s="1"/>
  <c r="J72" i="1"/>
  <c r="G72" i="1"/>
  <c r="D72" i="1"/>
  <c r="V71" i="1"/>
  <c r="U71" i="1"/>
  <c r="T71" i="1"/>
  <c r="S71" i="1"/>
  <c r="L71" i="1"/>
  <c r="K71" i="1"/>
  <c r="M71" i="1" s="1"/>
  <c r="J71" i="1"/>
  <c r="G71" i="1"/>
  <c r="D71" i="1"/>
  <c r="V70" i="1"/>
  <c r="U70" i="1"/>
  <c r="T70" i="1"/>
  <c r="S70" i="1"/>
  <c r="M70" i="1"/>
  <c r="L70" i="1"/>
  <c r="K70" i="1"/>
  <c r="J70" i="1"/>
  <c r="G70" i="1"/>
  <c r="D70" i="1"/>
  <c r="T69" i="1"/>
  <c r="S69" i="1"/>
  <c r="L69" i="1"/>
  <c r="U69" i="1" s="1"/>
  <c r="V69" i="1" s="1"/>
  <c r="K69" i="1"/>
  <c r="J69" i="1"/>
  <c r="G69" i="1"/>
  <c r="D69" i="1"/>
  <c r="U68" i="1"/>
  <c r="S68" i="1"/>
  <c r="L68" i="1"/>
  <c r="K68" i="1"/>
  <c r="T68" i="1" s="1"/>
  <c r="V68" i="1" s="1"/>
  <c r="J68" i="1"/>
  <c r="G68" i="1"/>
  <c r="D68" i="1"/>
  <c r="V67" i="1"/>
  <c r="T67" i="1"/>
  <c r="S67" i="1"/>
  <c r="M67" i="1"/>
  <c r="L67" i="1"/>
  <c r="U67" i="1" s="1"/>
  <c r="K67" i="1"/>
  <c r="J67" i="1"/>
  <c r="G67" i="1"/>
  <c r="D67" i="1"/>
  <c r="S66" i="1"/>
  <c r="M66" i="1"/>
  <c r="L66" i="1"/>
  <c r="U66" i="1" s="1"/>
  <c r="K66" i="1"/>
  <c r="T66" i="1" s="1"/>
  <c r="J66" i="1"/>
  <c r="G66" i="1"/>
  <c r="D66" i="1"/>
  <c r="S65" i="1"/>
  <c r="M65" i="1"/>
  <c r="L65" i="1"/>
  <c r="U65" i="1" s="1"/>
  <c r="K65" i="1"/>
  <c r="T65" i="1" s="1"/>
  <c r="V65" i="1" s="1"/>
  <c r="J65" i="1"/>
  <c r="G65" i="1"/>
  <c r="D65" i="1"/>
  <c r="U64" i="1"/>
  <c r="S64" i="1"/>
  <c r="L64" i="1"/>
  <c r="K64" i="1"/>
  <c r="T64" i="1" s="1"/>
  <c r="J64" i="1"/>
  <c r="G64" i="1"/>
  <c r="D64" i="1"/>
  <c r="T63" i="1"/>
  <c r="V63" i="1" s="1"/>
  <c r="S63" i="1"/>
  <c r="L63" i="1"/>
  <c r="U63" i="1" s="1"/>
  <c r="K63" i="1"/>
  <c r="J63" i="1"/>
  <c r="G63" i="1"/>
  <c r="D63" i="1"/>
  <c r="U62" i="1"/>
  <c r="T62" i="1"/>
  <c r="V62" i="1" s="1"/>
  <c r="S62" i="1"/>
  <c r="L62" i="1"/>
  <c r="K62" i="1"/>
  <c r="M62" i="1" s="1"/>
  <c r="J62" i="1"/>
  <c r="G62" i="1"/>
  <c r="D62" i="1"/>
  <c r="U59" i="1"/>
  <c r="V59" i="1" s="1"/>
  <c r="T59" i="1"/>
  <c r="S59" i="1"/>
  <c r="L59" i="1"/>
  <c r="M59" i="1" s="1"/>
  <c r="K59" i="1"/>
  <c r="J59" i="1"/>
  <c r="G59" i="1"/>
  <c r="D59" i="1"/>
  <c r="U58" i="1"/>
  <c r="S58" i="1"/>
  <c r="L58" i="1"/>
  <c r="K58" i="1"/>
  <c r="T58" i="1" s="1"/>
  <c r="V58" i="1" s="1"/>
  <c r="J58" i="1"/>
  <c r="G58" i="1"/>
  <c r="D58" i="1"/>
  <c r="U57" i="1"/>
  <c r="V57" i="1" s="1"/>
  <c r="T57" i="1"/>
  <c r="S57" i="1"/>
  <c r="L57" i="1"/>
  <c r="K57" i="1"/>
  <c r="M57" i="1" s="1"/>
  <c r="J57" i="1"/>
  <c r="G57" i="1"/>
  <c r="D57" i="1"/>
  <c r="U56" i="1"/>
  <c r="T56" i="1"/>
  <c r="V56" i="1" s="1"/>
  <c r="S56" i="1"/>
  <c r="M56" i="1"/>
  <c r="L56" i="1"/>
  <c r="K56" i="1"/>
  <c r="J56" i="1"/>
  <c r="G56" i="1"/>
  <c r="D56" i="1"/>
  <c r="T55" i="1"/>
  <c r="S55" i="1"/>
  <c r="L55" i="1"/>
  <c r="U55" i="1" s="1"/>
  <c r="K55" i="1"/>
  <c r="J55" i="1"/>
  <c r="G55" i="1"/>
  <c r="D55" i="1"/>
  <c r="V54" i="1"/>
  <c r="U54" i="1"/>
  <c r="S54" i="1"/>
  <c r="M54" i="1"/>
  <c r="L54" i="1"/>
  <c r="K54" i="1"/>
  <c r="T54" i="1" s="1"/>
  <c r="J54" i="1"/>
  <c r="G54" i="1"/>
  <c r="D54" i="1"/>
  <c r="T53" i="1"/>
  <c r="S53" i="1"/>
  <c r="L53" i="1"/>
  <c r="K53" i="1"/>
  <c r="J53" i="1"/>
  <c r="G53" i="1"/>
  <c r="D53" i="1"/>
  <c r="U52" i="1"/>
  <c r="S52" i="1"/>
  <c r="L52" i="1"/>
  <c r="K52" i="1"/>
  <c r="T52" i="1" s="1"/>
  <c r="V52" i="1" s="1"/>
  <c r="J52" i="1"/>
  <c r="G52" i="1"/>
  <c r="D52" i="1"/>
  <c r="S51" i="1"/>
  <c r="L51" i="1"/>
  <c r="U51" i="1" s="1"/>
  <c r="K51" i="1"/>
  <c r="T51" i="1" s="1"/>
  <c r="V51" i="1" s="1"/>
  <c r="J51" i="1"/>
  <c r="G51" i="1"/>
  <c r="D51" i="1"/>
  <c r="U50" i="1"/>
  <c r="S50" i="1"/>
  <c r="M50" i="1"/>
  <c r="L50" i="1"/>
  <c r="K50" i="1"/>
  <c r="T50" i="1" s="1"/>
  <c r="J50" i="1"/>
  <c r="G50" i="1"/>
  <c r="D50" i="1"/>
  <c r="T49" i="1"/>
  <c r="V49" i="1" s="1"/>
  <c r="S49" i="1"/>
  <c r="M49" i="1"/>
  <c r="L49" i="1"/>
  <c r="U49" i="1" s="1"/>
  <c r="K49" i="1"/>
  <c r="J49" i="1"/>
  <c r="G49" i="1"/>
  <c r="D49" i="1"/>
  <c r="T48" i="1"/>
  <c r="S48" i="1"/>
  <c r="M48" i="1"/>
  <c r="L48" i="1"/>
  <c r="U48" i="1" s="1"/>
  <c r="K48" i="1"/>
  <c r="J48" i="1"/>
  <c r="G48" i="1"/>
  <c r="D48" i="1"/>
  <c r="U47" i="1"/>
  <c r="T47" i="1"/>
  <c r="V47" i="1" s="1"/>
  <c r="S47" i="1"/>
  <c r="M47" i="1"/>
  <c r="L47" i="1"/>
  <c r="K47" i="1"/>
  <c r="J47" i="1"/>
  <c r="G47" i="1"/>
  <c r="D47" i="1"/>
  <c r="U46" i="1"/>
  <c r="S46" i="1"/>
  <c r="L46" i="1"/>
  <c r="K46" i="1"/>
  <c r="J46" i="1"/>
  <c r="G46" i="1"/>
  <c r="D46" i="1"/>
  <c r="S45" i="1"/>
  <c r="L45" i="1"/>
  <c r="U45" i="1" s="1"/>
  <c r="K45" i="1"/>
  <c r="J45" i="1"/>
  <c r="G45" i="1"/>
  <c r="D45" i="1"/>
  <c r="S44" i="1"/>
  <c r="L44" i="1"/>
  <c r="U44" i="1" s="1"/>
  <c r="K44" i="1"/>
  <c r="J44" i="1"/>
  <c r="G44" i="1"/>
  <c r="D44" i="1"/>
  <c r="S41" i="1"/>
  <c r="L41" i="1"/>
  <c r="U41" i="1" s="1"/>
  <c r="K41" i="1"/>
  <c r="J41" i="1"/>
  <c r="G41" i="1"/>
  <c r="D41" i="1"/>
  <c r="S40" i="1"/>
  <c r="L40" i="1"/>
  <c r="U40" i="1" s="1"/>
  <c r="K40" i="1"/>
  <c r="J40" i="1"/>
  <c r="G40" i="1"/>
  <c r="D40" i="1"/>
  <c r="T39" i="1"/>
  <c r="S39" i="1"/>
  <c r="L39" i="1"/>
  <c r="K39" i="1"/>
  <c r="J39" i="1"/>
  <c r="G39" i="1"/>
  <c r="D39" i="1"/>
  <c r="S38" i="1"/>
  <c r="L38" i="1"/>
  <c r="K38" i="1"/>
  <c r="T38" i="1" s="1"/>
  <c r="J38" i="1"/>
  <c r="G38" i="1"/>
  <c r="D38" i="1"/>
  <c r="T37" i="1"/>
  <c r="S37" i="1"/>
  <c r="L37" i="1"/>
  <c r="K37" i="1"/>
  <c r="J37" i="1"/>
  <c r="G37" i="1"/>
  <c r="D37" i="1"/>
  <c r="T36" i="1"/>
  <c r="S36" i="1"/>
  <c r="L36" i="1"/>
  <c r="K36" i="1"/>
  <c r="J36" i="1"/>
  <c r="G36" i="1"/>
  <c r="D36" i="1"/>
  <c r="U35" i="1"/>
  <c r="T35" i="1"/>
  <c r="V35" i="1" s="1"/>
  <c r="S35" i="1"/>
  <c r="M35" i="1"/>
  <c r="L35" i="1"/>
  <c r="K35" i="1"/>
  <c r="J35" i="1"/>
  <c r="G35" i="1"/>
  <c r="D35" i="1"/>
  <c r="U34" i="1"/>
  <c r="S34" i="1"/>
  <c r="L34" i="1"/>
  <c r="K34" i="1"/>
  <c r="M34" i="1" s="1"/>
  <c r="J34" i="1"/>
  <c r="G34" i="1"/>
  <c r="D34" i="1"/>
  <c r="T33" i="1"/>
  <c r="S33" i="1"/>
  <c r="L33" i="1"/>
  <c r="M33" i="1" s="1"/>
  <c r="K33" i="1"/>
  <c r="J33" i="1"/>
  <c r="G33" i="1"/>
  <c r="D33" i="1"/>
  <c r="U32" i="1"/>
  <c r="S32" i="1"/>
  <c r="M32" i="1"/>
  <c r="L32" i="1"/>
  <c r="K32" i="1"/>
  <c r="T32" i="1" s="1"/>
  <c r="V32" i="1" s="1"/>
  <c r="J32" i="1"/>
  <c r="G32" i="1"/>
  <c r="D32" i="1"/>
  <c r="T31" i="1"/>
  <c r="V31" i="1" s="1"/>
  <c r="S31" i="1"/>
  <c r="L31" i="1"/>
  <c r="U31" i="1" s="1"/>
  <c r="K31" i="1"/>
  <c r="J31" i="1"/>
  <c r="G31" i="1"/>
  <c r="D31" i="1"/>
  <c r="T30" i="1"/>
  <c r="S30" i="1"/>
  <c r="M30" i="1"/>
  <c r="L30" i="1"/>
  <c r="U30" i="1" s="1"/>
  <c r="K30" i="1"/>
  <c r="J30" i="1"/>
  <c r="G30" i="1"/>
  <c r="D30" i="1"/>
  <c r="T29" i="1"/>
  <c r="S29" i="1"/>
  <c r="M29" i="1"/>
  <c r="L29" i="1"/>
  <c r="U29" i="1" s="1"/>
  <c r="K29" i="1"/>
  <c r="J29" i="1"/>
  <c r="G29" i="1"/>
  <c r="D29" i="1"/>
  <c r="T28" i="1"/>
  <c r="S28" i="1"/>
  <c r="M28" i="1"/>
  <c r="L28" i="1"/>
  <c r="U28" i="1" s="1"/>
  <c r="K28" i="1"/>
  <c r="J28" i="1"/>
  <c r="G28" i="1"/>
  <c r="D28" i="1"/>
  <c r="T27" i="1"/>
  <c r="S27" i="1"/>
  <c r="L27" i="1"/>
  <c r="U27" i="1" s="1"/>
  <c r="K27" i="1"/>
  <c r="M27" i="1" s="1"/>
  <c r="J27" i="1"/>
  <c r="G27" i="1"/>
  <c r="D27" i="1"/>
  <c r="U26" i="1"/>
  <c r="S26" i="1"/>
  <c r="L26" i="1"/>
  <c r="K26" i="1"/>
  <c r="T26" i="1" s="1"/>
  <c r="V26" i="1" s="1"/>
  <c r="J26" i="1"/>
  <c r="G26" i="1"/>
  <c r="D26" i="1"/>
  <c r="T25" i="1"/>
  <c r="V25" i="1" s="1"/>
  <c r="S25" i="1"/>
  <c r="L25" i="1"/>
  <c r="U25" i="1" s="1"/>
  <c r="K25" i="1"/>
  <c r="M25" i="1" s="1"/>
  <c r="J25" i="1"/>
  <c r="G25" i="1"/>
  <c r="D25" i="1"/>
  <c r="T24" i="1"/>
  <c r="S24" i="1"/>
  <c r="L24" i="1"/>
  <c r="U24" i="1" s="1"/>
  <c r="K24" i="1"/>
  <c r="M24" i="1" s="1"/>
  <c r="J24" i="1"/>
  <c r="G24" i="1"/>
  <c r="D24" i="1"/>
  <c r="U23" i="1"/>
  <c r="T23" i="1"/>
  <c r="V23" i="1" s="1"/>
  <c r="S23" i="1"/>
  <c r="L23" i="1"/>
  <c r="K23" i="1"/>
  <c r="M23" i="1" s="1"/>
  <c r="J23" i="1"/>
  <c r="G23" i="1"/>
  <c r="D23" i="1"/>
  <c r="U22" i="1"/>
  <c r="S22" i="1"/>
  <c r="M22" i="1"/>
  <c r="L22" i="1"/>
  <c r="K22" i="1"/>
  <c r="T22" i="1" s="1"/>
  <c r="J22" i="1"/>
  <c r="G22" i="1"/>
  <c r="D22" i="1"/>
  <c r="T21" i="1"/>
  <c r="S21" i="1"/>
  <c r="M21" i="1"/>
  <c r="L21" i="1"/>
  <c r="U21" i="1" s="1"/>
  <c r="V21" i="1" s="1"/>
  <c r="K21" i="1"/>
  <c r="J21" i="1"/>
  <c r="G21" i="1"/>
  <c r="D21" i="1"/>
  <c r="U20" i="1"/>
  <c r="T20" i="1"/>
  <c r="V20" i="1" s="1"/>
  <c r="S20" i="1"/>
  <c r="M20" i="1"/>
  <c r="L20" i="1"/>
  <c r="K20" i="1"/>
  <c r="J20" i="1"/>
  <c r="G20" i="1"/>
  <c r="D20" i="1"/>
  <c r="U19" i="1"/>
  <c r="T19" i="1"/>
  <c r="V19" i="1" s="1"/>
  <c r="S19" i="1"/>
  <c r="L19" i="1"/>
  <c r="K19" i="1"/>
  <c r="J19" i="1"/>
  <c r="G19" i="1"/>
  <c r="D19" i="1"/>
  <c r="U18" i="1"/>
  <c r="T18" i="1"/>
  <c r="V18" i="1" s="1"/>
  <c r="S18" i="1"/>
  <c r="M18" i="1"/>
  <c r="L18" i="1"/>
  <c r="K18" i="1"/>
  <c r="J18" i="1"/>
  <c r="G18" i="1"/>
  <c r="D18" i="1"/>
  <c r="U17" i="1"/>
  <c r="T17" i="1"/>
  <c r="V17" i="1" s="1"/>
  <c r="S17" i="1"/>
  <c r="M17" i="1"/>
  <c r="L17" i="1"/>
  <c r="K17" i="1"/>
  <c r="J17" i="1"/>
  <c r="G17" i="1"/>
  <c r="D17" i="1"/>
  <c r="U14" i="1"/>
  <c r="T14" i="1"/>
  <c r="V14" i="1" s="1"/>
  <c r="S14" i="1"/>
  <c r="M14" i="1"/>
  <c r="L14" i="1"/>
  <c r="K14" i="1"/>
  <c r="J14" i="1"/>
  <c r="G14" i="1"/>
  <c r="D14" i="1"/>
  <c r="U13" i="1"/>
  <c r="S13" i="1"/>
  <c r="L13" i="1"/>
  <c r="K13" i="1"/>
  <c r="T13" i="1" s="1"/>
  <c r="V13" i="1" s="1"/>
  <c r="J13" i="1"/>
  <c r="G13" i="1"/>
  <c r="D13" i="1"/>
  <c r="U12" i="1"/>
  <c r="S12" i="1"/>
  <c r="L12" i="1"/>
  <c r="K12" i="1"/>
  <c r="T12" i="1" s="1"/>
  <c r="V12" i="1" s="1"/>
  <c r="J12" i="1"/>
  <c r="G12" i="1"/>
  <c r="D12" i="1"/>
  <c r="S11" i="1"/>
  <c r="L11" i="1"/>
  <c r="U11" i="1" s="1"/>
  <c r="K11" i="1"/>
  <c r="T11" i="1" s="1"/>
  <c r="V11" i="1" s="1"/>
  <c r="J11" i="1"/>
  <c r="G11" i="1"/>
  <c r="D11" i="1"/>
  <c r="U10" i="1"/>
  <c r="S10" i="1"/>
  <c r="L10" i="1"/>
  <c r="K10" i="1"/>
  <c r="T10" i="1" s="1"/>
  <c r="V10" i="1" s="1"/>
  <c r="J10" i="1"/>
  <c r="G10" i="1"/>
  <c r="D10" i="1"/>
  <c r="S9" i="1"/>
  <c r="L9" i="1"/>
  <c r="U9" i="1" s="1"/>
  <c r="K9" i="1"/>
  <c r="J9" i="1"/>
  <c r="G9" i="1"/>
  <c r="D9" i="1"/>
  <c r="T8" i="1"/>
  <c r="S8" i="1"/>
  <c r="L8" i="1"/>
  <c r="K8" i="1"/>
  <c r="J8" i="1"/>
  <c r="G8" i="1"/>
  <c r="D8" i="1"/>
  <c r="U7" i="1"/>
  <c r="T7" i="1"/>
  <c r="V7" i="1" s="1"/>
  <c r="S7" i="1"/>
  <c r="M7" i="1"/>
  <c r="L7" i="1"/>
  <c r="K7" i="1"/>
  <c r="J7" i="1"/>
  <c r="G7" i="1"/>
  <c r="D7" i="1"/>
  <c r="U6" i="1"/>
  <c r="S6" i="1"/>
  <c r="L6" i="1"/>
  <c r="K6" i="1"/>
  <c r="M6" i="1" s="1"/>
  <c r="J6" i="1"/>
  <c r="G6" i="1"/>
  <c r="D6" i="1"/>
  <c r="U5" i="1"/>
  <c r="S5" i="1"/>
  <c r="L5" i="1"/>
  <c r="K5" i="1"/>
  <c r="M5" i="1" s="1"/>
  <c r="J5" i="1"/>
  <c r="G5" i="1"/>
  <c r="D5" i="1"/>
  <c r="U4" i="1"/>
  <c r="S4" i="1"/>
  <c r="L4" i="1"/>
  <c r="K4" i="1"/>
  <c r="T4" i="1" s="1"/>
  <c r="J4" i="1"/>
  <c r="G4" i="1"/>
  <c r="D4" i="1"/>
  <c r="M8" i="1" l="1"/>
  <c r="U8" i="1"/>
  <c r="V27" i="1"/>
  <c r="V30" i="1"/>
  <c r="M38" i="1"/>
  <c r="U38" i="1"/>
  <c r="V38" i="1" s="1"/>
  <c r="T40" i="1"/>
  <c r="V40" i="1" s="1"/>
  <c r="M40" i="1"/>
  <c r="T44" i="1"/>
  <c r="V44" i="1" s="1"/>
  <c r="M44" i="1"/>
  <c r="T46" i="1"/>
  <c r="V46" i="1" s="1"/>
  <c r="M46" i="1"/>
  <c r="V55" i="1"/>
  <c r="M184" i="2"/>
  <c r="E184" i="2"/>
  <c r="I184" i="2"/>
  <c r="V4" i="1"/>
  <c r="M85" i="1"/>
  <c r="U85" i="1"/>
  <c r="V83" i="1"/>
  <c r="V8" i="1"/>
  <c r="M90" i="1"/>
  <c r="U90" i="1"/>
  <c r="V29" i="1"/>
  <c r="U37" i="1"/>
  <c r="V37" i="1" s="1"/>
  <c r="M37" i="1"/>
  <c r="V85" i="1"/>
  <c r="M140" i="1"/>
  <c r="T140" i="1"/>
  <c r="V140" i="1" s="1"/>
  <c r="M45" i="1"/>
  <c r="T45" i="1"/>
  <c r="V45" i="1" s="1"/>
  <c r="T127" i="1"/>
  <c r="V127" i="1" s="1"/>
  <c r="M127" i="1"/>
  <c r="U89" i="1"/>
  <c r="V89" i="1" s="1"/>
  <c r="M89" i="1"/>
  <c r="M36" i="1"/>
  <c r="U36" i="1"/>
  <c r="M103" i="1"/>
  <c r="U103" i="1"/>
  <c r="T9" i="1"/>
  <c r="V9" i="1" s="1"/>
  <c r="M9" i="1"/>
  <c r="M39" i="1"/>
  <c r="U39" i="1"/>
  <c r="V39" i="1" s="1"/>
  <c r="T41" i="1"/>
  <c r="V41" i="1" s="1"/>
  <c r="M41" i="1"/>
  <c r="U53" i="1"/>
  <c r="V53" i="1" s="1"/>
  <c r="M53" i="1"/>
  <c r="V22" i="1"/>
  <c r="V28" i="1"/>
  <c r="M145" i="2"/>
  <c r="E145" i="2"/>
  <c r="I145" i="2"/>
  <c r="S336" i="1"/>
  <c r="M19" i="1"/>
  <c r="V50" i="1"/>
  <c r="T72" i="1"/>
  <c r="V72" i="1" s="1"/>
  <c r="M81" i="1"/>
  <c r="U99" i="1"/>
  <c r="V99" i="1" s="1"/>
  <c r="M99" i="1"/>
  <c r="V102" i="1"/>
  <c r="T130" i="1"/>
  <c r="V130" i="1" s="1"/>
  <c r="M130" i="1"/>
  <c r="T205" i="1"/>
  <c r="V205" i="1" s="1"/>
  <c r="M205" i="1"/>
  <c r="M110" i="2"/>
  <c r="E110" i="2"/>
  <c r="I110" i="2"/>
  <c r="E245" i="2"/>
  <c r="I245" i="2"/>
  <c r="M245" i="2"/>
  <c r="I282" i="2"/>
  <c r="E282" i="2"/>
  <c r="M282" i="2"/>
  <c r="I288" i="2"/>
  <c r="E288" i="2"/>
  <c r="M288" i="2"/>
  <c r="T5" i="1"/>
  <c r="V5" i="1" s="1"/>
  <c r="M10" i="1"/>
  <c r="M11" i="1"/>
  <c r="M12" i="1"/>
  <c r="M13" i="1"/>
  <c r="M51" i="1"/>
  <c r="M52" i="1"/>
  <c r="M68" i="1"/>
  <c r="U73" i="1"/>
  <c r="V73" i="1" s="1"/>
  <c r="T74" i="1"/>
  <c r="V74" i="1" s="1"/>
  <c r="M82" i="1"/>
  <c r="V103" i="1"/>
  <c r="M111" i="1"/>
  <c r="M120" i="1"/>
  <c r="T120" i="1"/>
  <c r="V120" i="1" s="1"/>
  <c r="V151" i="1"/>
  <c r="T257" i="1"/>
  <c r="V257" i="1" s="1"/>
  <c r="M257" i="1"/>
  <c r="M91" i="2"/>
  <c r="I91" i="2"/>
  <c r="E91" i="2"/>
  <c r="I106" i="2"/>
  <c r="E106" i="2"/>
  <c r="M106" i="2"/>
  <c r="T6" i="1"/>
  <c r="V6" i="1" s="1"/>
  <c r="U33" i="1"/>
  <c r="V33" i="1" s="1"/>
  <c r="T34" i="1"/>
  <c r="V34" i="1" s="1"/>
  <c r="V66" i="1"/>
  <c r="V163" i="1"/>
  <c r="V171" i="1"/>
  <c r="I77" i="2"/>
  <c r="E77" i="2"/>
  <c r="M77" i="2"/>
  <c r="M173" i="2"/>
  <c r="I173" i="2"/>
  <c r="E173" i="2"/>
  <c r="I234" i="2"/>
  <c r="M234" i="2"/>
  <c r="E234" i="2"/>
  <c r="V64" i="1"/>
  <c r="V134" i="1"/>
  <c r="M139" i="1"/>
  <c r="V145" i="1"/>
  <c r="T223" i="1"/>
  <c r="V223" i="1" s="1"/>
  <c r="M223" i="1"/>
  <c r="V36" i="1"/>
  <c r="T101" i="1"/>
  <c r="V101" i="1" s="1"/>
  <c r="M101" i="1"/>
  <c r="M110" i="1"/>
  <c r="T110" i="1"/>
  <c r="V110" i="1" s="1"/>
  <c r="T159" i="1"/>
  <c r="V159" i="1" s="1"/>
  <c r="M159" i="1"/>
  <c r="V162" i="1"/>
  <c r="U261" i="1"/>
  <c r="M261" i="1"/>
  <c r="T275" i="1"/>
  <c r="V275" i="1" s="1"/>
  <c r="M275" i="1"/>
  <c r="I74" i="2"/>
  <c r="M74" i="2"/>
  <c r="E74" i="2"/>
  <c r="M204" i="2"/>
  <c r="I204" i="2"/>
  <c r="E204" i="2"/>
  <c r="D336" i="1"/>
  <c r="G336" i="1"/>
  <c r="M31" i="1"/>
  <c r="M58" i="1"/>
  <c r="M63" i="1"/>
  <c r="M64" i="1"/>
  <c r="V78" i="1"/>
  <c r="M79" i="1"/>
  <c r="T115" i="1"/>
  <c r="V115" i="1" s="1"/>
  <c r="M115" i="1"/>
  <c r="M119" i="1"/>
  <c r="U119" i="1"/>
  <c r="V119" i="1" s="1"/>
  <c r="U165" i="1"/>
  <c r="V165" i="1" s="1"/>
  <c r="M178" i="1"/>
  <c r="T184" i="1"/>
  <c r="V184" i="1" s="1"/>
  <c r="M184" i="1"/>
  <c r="T211" i="1"/>
  <c r="V211" i="1" s="1"/>
  <c r="M211" i="1"/>
  <c r="J336" i="1"/>
  <c r="M26" i="1"/>
  <c r="M55" i="1"/>
  <c r="V76" i="1"/>
  <c r="M92" i="1"/>
  <c r="T92" i="1"/>
  <c r="V92" i="1" s="1"/>
  <c r="T141" i="1"/>
  <c r="V141" i="1" s="1"/>
  <c r="M141" i="1"/>
  <c r="E200" i="2"/>
  <c r="I200" i="2"/>
  <c r="M200" i="2"/>
  <c r="M11" i="2"/>
  <c r="E11" i="2"/>
  <c r="I11" i="2"/>
  <c r="I29" i="2"/>
  <c r="M29" i="2"/>
  <c r="E29" i="2"/>
  <c r="E37" i="2"/>
  <c r="M37" i="2"/>
  <c r="I37" i="2"/>
  <c r="M197" i="2"/>
  <c r="E197" i="2"/>
  <c r="I197" i="2"/>
  <c r="E285" i="2"/>
  <c r="I285" i="2"/>
  <c r="M285" i="2"/>
  <c r="M155" i="1"/>
  <c r="T155" i="1"/>
  <c r="V155" i="1" s="1"/>
  <c r="M164" i="1"/>
  <c r="U164" i="1"/>
  <c r="M244" i="1"/>
  <c r="U244" i="1"/>
  <c r="V244" i="1" s="1"/>
  <c r="L336" i="1"/>
  <c r="M75" i="1"/>
  <c r="M76" i="1"/>
  <c r="V91" i="1"/>
  <c r="T109" i="1"/>
  <c r="V109" i="1" s="1"/>
  <c r="M109" i="1"/>
  <c r="M128" i="1"/>
  <c r="M131" i="1"/>
  <c r="U131" i="1"/>
  <c r="U150" i="1"/>
  <c r="V150" i="1" s="1"/>
  <c r="M150" i="1"/>
  <c r="T277" i="1"/>
  <c r="V277" i="1" s="1"/>
  <c r="M277" i="1"/>
  <c r="V24" i="1"/>
  <c r="M183" i="1"/>
  <c r="T183" i="1"/>
  <c r="V183" i="1" s="1"/>
  <c r="M286" i="1"/>
  <c r="T286" i="1"/>
  <c r="V286" i="1" s="1"/>
  <c r="E131" i="2"/>
  <c r="M131" i="2"/>
  <c r="I131" i="2"/>
  <c r="K336" i="1"/>
  <c r="V48" i="1"/>
  <c r="M4" i="1"/>
  <c r="M69" i="1"/>
  <c r="V90" i="1"/>
  <c r="V95" i="1"/>
  <c r="V106" i="1"/>
  <c r="M118" i="1"/>
  <c r="V122" i="1"/>
  <c r="V164" i="1"/>
  <c r="U175" i="1"/>
  <c r="V175" i="1" s="1"/>
  <c r="M175" i="1"/>
  <c r="M198" i="1"/>
  <c r="T198" i="1"/>
  <c r="V198" i="1" s="1"/>
  <c r="M148" i="2"/>
  <c r="E148" i="2"/>
  <c r="I148" i="2"/>
  <c r="T143" i="1"/>
  <c r="V143" i="1" s="1"/>
  <c r="M143" i="1"/>
  <c r="T189" i="1"/>
  <c r="V189" i="1" s="1"/>
  <c r="M189" i="1"/>
  <c r="M194" i="1"/>
  <c r="T194" i="1"/>
  <c r="V194" i="1" s="1"/>
  <c r="U243" i="1"/>
  <c r="V243" i="1" s="1"/>
  <c r="M243" i="1"/>
  <c r="T263" i="1"/>
  <c r="V263" i="1" s="1"/>
  <c r="M263" i="1"/>
  <c r="M291" i="1"/>
  <c r="U291" i="1"/>
  <c r="V291" i="1" s="1"/>
  <c r="I65" i="2"/>
  <c r="M65" i="2"/>
  <c r="E65" i="2"/>
  <c r="M120" i="2"/>
  <c r="I120" i="2"/>
  <c r="E155" i="2"/>
  <c r="M155" i="2"/>
  <c r="I241" i="2"/>
  <c r="M241" i="2"/>
  <c r="E241" i="2"/>
  <c r="M267" i="2"/>
  <c r="E267" i="2"/>
  <c r="I267" i="2"/>
  <c r="T158" i="1"/>
  <c r="V158" i="1" s="1"/>
  <c r="M158" i="1"/>
  <c r="M186" i="1"/>
  <c r="V207" i="1"/>
  <c r="M214" i="1"/>
  <c r="U214" i="1"/>
  <c r="M248" i="1"/>
  <c r="T248" i="1"/>
  <c r="V248" i="1" s="1"/>
  <c r="T271" i="1"/>
  <c r="V271" i="1" s="1"/>
  <c r="M271" i="1"/>
  <c r="T313" i="1"/>
  <c r="V313" i="1" s="1"/>
  <c r="M313" i="1"/>
  <c r="U336" i="2"/>
  <c r="P336" i="2"/>
  <c r="E8" i="2"/>
  <c r="M8" i="2"/>
  <c r="I8" i="2"/>
  <c r="I95" i="2"/>
  <c r="E95" i="2"/>
  <c r="M95" i="2"/>
  <c r="I187" i="2"/>
  <c r="M187" i="2"/>
  <c r="E187" i="2"/>
  <c r="E303" i="2"/>
  <c r="I303" i="2"/>
  <c r="M303" i="2"/>
  <c r="E331" i="2"/>
  <c r="M331" i="2"/>
  <c r="I331" i="2"/>
  <c r="M126" i="1"/>
  <c r="T126" i="1"/>
  <c r="V126" i="1" s="1"/>
  <c r="V131" i="1"/>
  <c r="V136" i="1"/>
  <c r="V181" i="1"/>
  <c r="T251" i="1"/>
  <c r="V251" i="1" s="1"/>
  <c r="M251" i="1"/>
  <c r="E28" i="2"/>
  <c r="M28" i="2"/>
  <c r="I28" i="2"/>
  <c r="E70" i="2"/>
  <c r="I70" i="2"/>
  <c r="M70" i="2"/>
  <c r="I181" i="2"/>
  <c r="M181" i="2"/>
  <c r="E181" i="2"/>
  <c r="I317" i="2"/>
  <c r="E317" i="2"/>
  <c r="M317" i="2"/>
  <c r="V108" i="1"/>
  <c r="M153" i="1"/>
  <c r="M162" i="1"/>
  <c r="U163" i="1"/>
  <c r="V167" i="1"/>
  <c r="V185" i="1"/>
  <c r="E13" i="2"/>
  <c r="I13" i="2"/>
  <c r="M13" i="2"/>
  <c r="I20" i="2"/>
  <c r="E20" i="2"/>
  <c r="M20" i="2"/>
  <c r="M23" i="2"/>
  <c r="I23" i="2"/>
  <c r="E23" i="2"/>
  <c r="E67" i="2"/>
  <c r="I67" i="2"/>
  <c r="I213" i="2"/>
  <c r="E213" i="2"/>
  <c r="M213" i="2"/>
  <c r="M263" i="2"/>
  <c r="E263" i="2"/>
  <c r="I263" i="2"/>
  <c r="I266" i="2"/>
  <c r="M266" i="2"/>
  <c r="E266" i="2"/>
  <c r="M311" i="2"/>
  <c r="I311" i="2"/>
  <c r="E311" i="2"/>
  <c r="T191" i="1"/>
  <c r="V191" i="1" s="1"/>
  <c r="M191" i="1"/>
  <c r="V245" i="1"/>
  <c r="M25" i="2"/>
  <c r="E25" i="2"/>
  <c r="I25" i="2"/>
  <c r="T129" i="1"/>
  <c r="V129" i="1" s="1"/>
  <c r="M129" i="1"/>
  <c r="M100" i="1"/>
  <c r="V117" i="1"/>
  <c r="M142" i="1"/>
  <c r="T154" i="1"/>
  <c r="V154" i="1" s="1"/>
  <c r="M185" i="1"/>
  <c r="M188" i="1"/>
  <c r="T203" i="1"/>
  <c r="V203" i="1" s="1"/>
  <c r="T210" i="1"/>
  <c r="V210" i="1" s="1"/>
  <c r="M210" i="1"/>
  <c r="M213" i="1"/>
  <c r="V214" i="1"/>
  <c r="U238" i="1"/>
  <c r="M238" i="1"/>
  <c r="T247" i="1"/>
  <c r="V247" i="1" s="1"/>
  <c r="M247" i="1"/>
  <c r="M278" i="1"/>
  <c r="T278" i="1"/>
  <c r="V278" i="1" s="1"/>
  <c r="U287" i="1"/>
  <c r="V287" i="1" s="1"/>
  <c r="M287" i="1"/>
  <c r="M325" i="1"/>
  <c r="U325" i="1"/>
  <c r="V325" i="1" s="1"/>
  <c r="E154" i="2"/>
  <c r="M154" i="2"/>
  <c r="I154" i="2"/>
  <c r="E160" i="2"/>
  <c r="I160" i="2"/>
  <c r="M160" i="2"/>
  <c r="M183" i="2"/>
  <c r="E183" i="2"/>
  <c r="I183" i="2"/>
  <c r="I205" i="2"/>
  <c r="E205" i="2"/>
  <c r="M205" i="2"/>
  <c r="E272" i="2"/>
  <c r="M272" i="2"/>
  <c r="I272" i="2"/>
  <c r="I314" i="2"/>
  <c r="M314" i="2"/>
  <c r="E314" i="2"/>
  <c r="I33" i="2"/>
  <c r="M33" i="2"/>
  <c r="E33" i="2"/>
  <c r="I38" i="2"/>
  <c r="E38" i="2"/>
  <c r="M38" i="2"/>
  <c r="M49" i="2"/>
  <c r="E49" i="2"/>
  <c r="I49" i="2"/>
  <c r="I69" i="2"/>
  <c r="M69" i="2"/>
  <c r="E69" i="2"/>
  <c r="M224" i="2"/>
  <c r="E224" i="2"/>
  <c r="I224" i="2"/>
  <c r="M256" i="2"/>
  <c r="E256" i="2"/>
  <c r="I256" i="2"/>
  <c r="I302" i="2"/>
  <c r="M302" i="2"/>
  <c r="E302" i="2"/>
  <c r="M308" i="2"/>
  <c r="I308" i="2"/>
  <c r="E308" i="2"/>
  <c r="M325" i="2"/>
  <c r="I325" i="2"/>
  <c r="E325" i="2"/>
  <c r="V96" i="1"/>
  <c r="V187" i="1"/>
  <c r="U197" i="1"/>
  <c r="V197" i="1" s="1"/>
  <c r="V238" i="1"/>
  <c r="I17" i="2"/>
  <c r="M17" i="2"/>
  <c r="E17" i="2"/>
  <c r="M22" i="2"/>
  <c r="E22" i="2"/>
  <c r="I22" i="2"/>
  <c r="M80" i="2"/>
  <c r="I80" i="2"/>
  <c r="E80" i="2"/>
  <c r="E120" i="2"/>
  <c r="I121" i="2"/>
  <c r="M237" i="2"/>
  <c r="E291" i="2"/>
  <c r="M291" i="2"/>
  <c r="I291" i="2"/>
  <c r="T190" i="1"/>
  <c r="V190" i="1" s="1"/>
  <c r="M190" i="1"/>
  <c r="T195" i="1"/>
  <c r="V195" i="1" s="1"/>
  <c r="M195" i="1"/>
  <c r="M254" i="1"/>
  <c r="T254" i="1"/>
  <c r="V254" i="1" s="1"/>
  <c r="U264" i="1"/>
  <c r="M264" i="1"/>
  <c r="T309" i="1"/>
  <c r="V309" i="1" s="1"/>
  <c r="M309" i="1"/>
  <c r="E12" i="2"/>
  <c r="M12" i="2"/>
  <c r="I12" i="2"/>
  <c r="E27" i="2"/>
  <c r="I27" i="2"/>
  <c r="M27" i="2"/>
  <c r="I58" i="2"/>
  <c r="E58" i="2"/>
  <c r="E118" i="2"/>
  <c r="M118" i="2"/>
  <c r="I118" i="2"/>
  <c r="I155" i="2"/>
  <c r="M259" i="2"/>
  <c r="I259" i="2"/>
  <c r="E259" i="2"/>
  <c r="M304" i="2"/>
  <c r="I304" i="2"/>
  <c r="E304" i="2"/>
  <c r="I310" i="2"/>
  <c r="E310" i="2"/>
  <c r="M310" i="2"/>
  <c r="M166" i="1"/>
  <c r="T296" i="1"/>
  <c r="V296" i="1" s="1"/>
  <c r="M296" i="1"/>
  <c r="V19" i="2"/>
  <c r="E41" i="2"/>
  <c r="M45" i="2"/>
  <c r="I45" i="2"/>
  <c r="V64" i="2"/>
  <c r="E72" i="2"/>
  <c r="I89" i="2"/>
  <c r="M89" i="2"/>
  <c r="E89" i="2"/>
  <c r="I92" i="2"/>
  <c r="M92" i="2"/>
  <c r="E92" i="2"/>
  <c r="E103" i="2"/>
  <c r="M103" i="2"/>
  <c r="I103" i="2"/>
  <c r="E218" i="2"/>
  <c r="I218" i="2"/>
  <c r="M218" i="2"/>
  <c r="I262" i="2"/>
  <c r="M262" i="2"/>
  <c r="E262" i="2"/>
  <c r="E269" i="2"/>
  <c r="I269" i="2"/>
  <c r="M269" i="2"/>
  <c r="M275" i="2"/>
  <c r="M276" i="2"/>
  <c r="E276" i="2"/>
  <c r="I298" i="2"/>
  <c r="M298" i="2"/>
  <c r="E298" i="2"/>
  <c r="E301" i="2"/>
  <c r="I301" i="2"/>
  <c r="M301" i="2"/>
  <c r="M202" i="1"/>
  <c r="T202" i="1"/>
  <c r="V202" i="1" s="1"/>
  <c r="T231" i="1"/>
  <c r="V231" i="1" s="1"/>
  <c r="M231" i="1"/>
  <c r="T260" i="1"/>
  <c r="V260" i="1" s="1"/>
  <c r="M260" i="1"/>
  <c r="M21" i="2"/>
  <c r="E40" i="2"/>
  <c r="V44" i="2"/>
  <c r="I48" i="2"/>
  <c r="I55" i="2"/>
  <c r="M55" i="2"/>
  <c r="M73" i="2"/>
  <c r="E73" i="2"/>
  <c r="E79" i="2"/>
  <c r="I79" i="2"/>
  <c r="M79" i="2"/>
  <c r="E101" i="2"/>
  <c r="M133" i="2"/>
  <c r="E133" i="2"/>
  <c r="I133" i="2"/>
  <c r="E142" i="2"/>
  <c r="I142" i="2"/>
  <c r="M142" i="2"/>
  <c r="I156" i="2"/>
  <c r="E156" i="2"/>
  <c r="M203" i="2"/>
  <c r="E203" i="2"/>
  <c r="M235" i="2"/>
  <c r="E235" i="2"/>
  <c r="I235" i="2"/>
  <c r="V212" i="1"/>
  <c r="V219" i="1"/>
  <c r="V264" i="1"/>
  <c r="M266" i="1"/>
  <c r="T266" i="1"/>
  <c r="V266" i="1" s="1"/>
  <c r="M274" i="1"/>
  <c r="T274" i="1"/>
  <c r="V274" i="1" s="1"/>
  <c r="V334" i="1"/>
  <c r="I7" i="2"/>
  <c r="E7" i="2"/>
  <c r="I32" i="2"/>
  <c r="E32" i="2"/>
  <c r="I35" i="2"/>
  <c r="M94" i="2"/>
  <c r="I94" i="2"/>
  <c r="M99" i="2"/>
  <c r="I99" i="2"/>
  <c r="E126" i="2"/>
  <c r="M126" i="2"/>
  <c r="I126" i="2"/>
  <c r="M172" i="2"/>
  <c r="E172" i="2"/>
  <c r="I172" i="2"/>
  <c r="M214" i="2"/>
  <c r="E214" i="2"/>
  <c r="I214" i="2"/>
  <c r="M297" i="2"/>
  <c r="E297" i="2"/>
  <c r="I297" i="2"/>
  <c r="M201" i="1"/>
  <c r="M221" i="1"/>
  <c r="U250" i="1"/>
  <c r="V250" i="1" s="1"/>
  <c r="M250" i="1"/>
  <c r="U293" i="1"/>
  <c r="V293" i="1" s="1"/>
  <c r="M293" i="1"/>
  <c r="V318" i="1"/>
  <c r="M121" i="2"/>
  <c r="E121" i="2"/>
  <c r="I162" i="2"/>
  <c r="M162" i="2"/>
  <c r="I191" i="2"/>
  <c r="M191" i="2"/>
  <c r="E191" i="2"/>
  <c r="I255" i="2"/>
  <c r="E255" i="2"/>
  <c r="M264" i="2"/>
  <c r="I264" i="2"/>
  <c r="E264" i="2"/>
  <c r="E292" i="2"/>
  <c r="M292" i="2"/>
  <c r="I292" i="2"/>
  <c r="E312" i="2"/>
  <c r="I312" i="2"/>
  <c r="I327" i="2"/>
  <c r="M327" i="2"/>
  <c r="E327" i="2"/>
  <c r="M180" i="1"/>
  <c r="M219" i="1"/>
  <c r="T232" i="1"/>
  <c r="V232" i="1" s="1"/>
  <c r="M245" i="1"/>
  <c r="T249" i="1"/>
  <c r="V249" i="1" s="1"/>
  <c r="M249" i="1"/>
  <c r="U256" i="1"/>
  <c r="V256" i="1" s="1"/>
  <c r="M256" i="1"/>
  <c r="M262" i="1"/>
  <c r="T262" i="1"/>
  <c r="V262" i="1" s="1"/>
  <c r="V273" i="1"/>
  <c r="V283" i="1"/>
  <c r="M285" i="1"/>
  <c r="M298" i="1"/>
  <c r="M314" i="1"/>
  <c r="V331" i="1"/>
  <c r="D336" i="2"/>
  <c r="H336" i="2"/>
  <c r="V6" i="2"/>
  <c r="E45" i="2"/>
  <c r="I96" i="2"/>
  <c r="M96" i="2"/>
  <c r="E96" i="2"/>
  <c r="M101" i="2"/>
  <c r="M111" i="2"/>
  <c r="I111" i="2"/>
  <c r="M152" i="2"/>
  <c r="E152" i="2"/>
  <c r="I152" i="2"/>
  <c r="I168" i="2"/>
  <c r="M168" i="2"/>
  <c r="E168" i="2"/>
  <c r="M199" i="2"/>
  <c r="I199" i="2"/>
  <c r="E283" i="2"/>
  <c r="M283" i="2"/>
  <c r="I283" i="2"/>
  <c r="T235" i="1"/>
  <c r="V235" i="1" s="1"/>
  <c r="M235" i="1"/>
  <c r="V259" i="1"/>
  <c r="T292" i="1"/>
  <c r="V292" i="1" s="1"/>
  <c r="M292" i="1"/>
  <c r="M301" i="1"/>
  <c r="V319" i="1"/>
  <c r="L336" i="2"/>
  <c r="E18" i="2"/>
  <c r="I18" i="2"/>
  <c r="M57" i="2"/>
  <c r="E57" i="2"/>
  <c r="M66" i="2"/>
  <c r="E66" i="2"/>
  <c r="I66" i="2"/>
  <c r="I72" i="2"/>
  <c r="E93" i="2"/>
  <c r="M93" i="2"/>
  <c r="I93" i="2"/>
  <c r="M132" i="2"/>
  <c r="I132" i="2"/>
  <c r="E132" i="2"/>
  <c r="I136" i="2"/>
  <c r="M136" i="2"/>
  <c r="E136" i="2"/>
  <c r="M141" i="2"/>
  <c r="E141" i="2"/>
  <c r="E237" i="2"/>
  <c r="I237" i="2"/>
  <c r="I249" i="2"/>
  <c r="M249" i="2"/>
  <c r="E249" i="2"/>
  <c r="E315" i="2"/>
  <c r="I315" i="2"/>
  <c r="M315" i="2"/>
  <c r="I320" i="2"/>
  <c r="M320" i="2"/>
  <c r="E320" i="2"/>
  <c r="I334" i="2"/>
  <c r="E334" i="2"/>
  <c r="T255" i="1"/>
  <c r="V255" i="1" s="1"/>
  <c r="M255" i="1"/>
  <c r="V265" i="1"/>
  <c r="V269" i="1"/>
  <c r="V297" i="1"/>
  <c r="V302" i="1"/>
  <c r="U317" i="1"/>
  <c r="V317" i="1" s="1"/>
  <c r="M317" i="1"/>
  <c r="V324" i="1"/>
  <c r="M31" i="2"/>
  <c r="E31" i="2"/>
  <c r="I41" i="2"/>
  <c r="E78" i="2"/>
  <c r="I78" i="2"/>
  <c r="I81" i="2"/>
  <c r="E81" i="2"/>
  <c r="I90" i="2"/>
  <c r="E90" i="2"/>
  <c r="E117" i="2"/>
  <c r="I117" i="2"/>
  <c r="I149" i="2"/>
  <c r="E149" i="2"/>
  <c r="M158" i="2"/>
  <c r="I158" i="2"/>
  <c r="M161" i="2"/>
  <c r="I161" i="2"/>
  <c r="E161" i="2"/>
  <c r="I182" i="2"/>
  <c r="E182" i="2"/>
  <c r="M182" i="2"/>
  <c r="I185" i="2"/>
  <c r="M185" i="2"/>
  <c r="M188" i="2"/>
  <c r="I188" i="2"/>
  <c r="E188" i="2"/>
  <c r="V231" i="2"/>
  <c r="I239" i="2"/>
  <c r="E239" i="2"/>
  <c r="M239" i="2"/>
  <c r="V260" i="2"/>
  <c r="I277" i="2"/>
  <c r="M277" i="2"/>
  <c r="V199" i="1"/>
  <c r="M212" i="1"/>
  <c r="M224" i="1"/>
  <c r="T258" i="1"/>
  <c r="V258" i="1" s="1"/>
  <c r="M258" i="1"/>
  <c r="V261" i="1"/>
  <c r="M265" i="1"/>
  <c r="M269" i="1"/>
  <c r="V272" i="1"/>
  <c r="M297" i="1"/>
  <c r="M300" i="1"/>
  <c r="T300" i="1"/>
  <c r="V300" i="1" s="1"/>
  <c r="T323" i="1"/>
  <c r="V323" i="1" s="1"/>
  <c r="U326" i="1"/>
  <c r="V326" i="1" s="1"/>
  <c r="M326" i="1"/>
  <c r="M5" i="2"/>
  <c r="I5" i="2"/>
  <c r="E5" i="2"/>
  <c r="E46" i="2"/>
  <c r="I46" i="2"/>
  <c r="E53" i="2"/>
  <c r="M53" i="2"/>
  <c r="I53" i="2"/>
  <c r="E94" i="2"/>
  <c r="M157" i="2"/>
  <c r="I157" i="2"/>
  <c r="I216" i="2"/>
  <c r="E216" i="2"/>
  <c r="I222" i="2"/>
  <c r="E222" i="2"/>
  <c r="M222" i="2"/>
  <c r="V236" i="2"/>
  <c r="I242" i="2"/>
  <c r="M242" i="2"/>
  <c r="E242" i="2"/>
  <c r="J336" i="3"/>
  <c r="M236" i="1"/>
  <c r="M240" i="1"/>
  <c r="V310" i="1"/>
  <c r="V26" i="2"/>
  <c r="E75" i="2"/>
  <c r="M82" i="2"/>
  <c r="I82" i="2"/>
  <c r="I105" i="2"/>
  <c r="M105" i="2"/>
  <c r="E105" i="2"/>
  <c r="I165" i="2"/>
  <c r="E165" i="2"/>
  <c r="I196" i="2"/>
  <c r="M196" i="2"/>
  <c r="E196" i="2"/>
  <c r="E220" i="2"/>
  <c r="M220" i="2"/>
  <c r="I227" i="2"/>
  <c r="E227" i="2"/>
  <c r="M270" i="2"/>
  <c r="M322" i="2"/>
  <c r="I63" i="2"/>
  <c r="M63" i="2"/>
  <c r="I75" i="2"/>
  <c r="I109" i="2"/>
  <c r="M167" i="2"/>
  <c r="E167" i="2"/>
  <c r="I167" i="2"/>
  <c r="I174" i="2"/>
  <c r="E174" i="2"/>
  <c r="E180" i="2"/>
  <c r="I180" i="2"/>
  <c r="E206" i="2"/>
  <c r="M206" i="2"/>
  <c r="M212" i="2"/>
  <c r="E212" i="2"/>
  <c r="I248" i="2"/>
  <c r="E248" i="2"/>
  <c r="E261" i="2"/>
  <c r="M261" i="2"/>
  <c r="I271" i="2"/>
  <c r="I284" i="2"/>
  <c r="M284" i="2"/>
  <c r="E284" i="2"/>
  <c r="I296" i="2"/>
  <c r="E323" i="2"/>
  <c r="I323" i="2"/>
  <c r="V307" i="1"/>
  <c r="S336" i="2"/>
  <c r="I54" i="2"/>
  <c r="M56" i="2"/>
  <c r="E56" i="2"/>
  <c r="M134" i="2"/>
  <c r="E134" i="2"/>
  <c r="I140" i="2"/>
  <c r="M140" i="2"/>
  <c r="I202" i="2"/>
  <c r="M226" i="2"/>
  <c r="I226" i="2"/>
  <c r="E230" i="2"/>
  <c r="I244" i="2"/>
  <c r="M244" i="2"/>
  <c r="I274" i="2"/>
  <c r="M274" i="2"/>
  <c r="I326" i="2"/>
  <c r="E326" i="2"/>
  <c r="V39" i="2"/>
  <c r="I130" i="2"/>
  <c r="V146" i="2"/>
  <c r="M186" i="2"/>
  <c r="E186" i="2"/>
  <c r="V195" i="2"/>
  <c r="M198" i="2"/>
  <c r="I198" i="2"/>
  <c r="V278" i="2"/>
  <c r="V290" i="2"/>
  <c r="I319" i="2"/>
  <c r="M319" i="2"/>
  <c r="M302" i="1"/>
  <c r="M306" i="1"/>
  <c r="M9" i="2"/>
  <c r="I24" i="2"/>
  <c r="E24" i="2"/>
  <c r="V50" i="2"/>
  <c r="V104" i="2"/>
  <c r="I119" i="2"/>
  <c r="M119" i="2"/>
  <c r="I125" i="2"/>
  <c r="M125" i="2"/>
  <c r="E125" i="2"/>
  <c r="E150" i="2"/>
  <c r="I150" i="2"/>
  <c r="M179" i="2"/>
  <c r="E179" i="2"/>
  <c r="I219" i="2"/>
  <c r="E251" i="2"/>
  <c r="V286" i="2"/>
  <c r="M315" i="1"/>
  <c r="V83" i="2"/>
  <c r="V122" i="2"/>
  <c r="E166" i="2"/>
  <c r="M166" i="2"/>
  <c r="I166" i="2"/>
  <c r="I210" i="2"/>
  <c r="E210" i="2"/>
  <c r="I225" i="2"/>
  <c r="E225" i="2"/>
  <c r="I273" i="2"/>
  <c r="E273" i="2"/>
  <c r="V289" i="2"/>
  <c r="V324" i="2"/>
  <c r="M334" i="1"/>
  <c r="V10" i="2"/>
  <c r="V59" i="2"/>
  <c r="V129" i="2"/>
  <c r="M171" i="2"/>
  <c r="V178" i="2"/>
  <c r="V221" i="2"/>
  <c r="V233" i="2"/>
  <c r="E300" i="2"/>
  <c r="M300" i="2"/>
  <c r="V107" i="2"/>
  <c r="E194" i="2"/>
  <c r="M194" i="2"/>
  <c r="V223" i="2"/>
  <c r="V246" i="2"/>
  <c r="I293" i="2"/>
  <c r="E293" i="2"/>
  <c r="M305" i="2"/>
  <c r="E305" i="2"/>
  <c r="M327" i="1"/>
  <c r="V144" i="2"/>
  <c r="T336" i="2"/>
  <c r="V68" i="2"/>
  <c r="V115" i="2"/>
  <c r="V143" i="2"/>
  <c r="V153" i="2"/>
  <c r="E169" i="2"/>
  <c r="M169" i="2"/>
  <c r="E201" i="2"/>
  <c r="E228" i="2"/>
  <c r="V232" i="2"/>
  <c r="V257" i="2"/>
  <c r="I313" i="2"/>
  <c r="E313" i="2"/>
  <c r="V190" i="2"/>
  <c r="M238" i="2"/>
  <c r="E238" i="2"/>
  <c r="E243" i="2"/>
  <c r="M243" i="2"/>
  <c r="M316" i="2"/>
  <c r="E316" i="2"/>
  <c r="E321" i="2"/>
  <c r="M321" i="2"/>
  <c r="V36" i="2"/>
  <c r="V76" i="2"/>
  <c r="V112" i="2"/>
  <c r="V207" i="2"/>
  <c r="I238" i="2"/>
  <c r="V240" i="2"/>
  <c r="V250" i="2"/>
  <c r="V306" i="2"/>
  <c r="I316" i="2"/>
  <c r="V318" i="2"/>
  <c r="V330" i="2"/>
  <c r="V151" i="2"/>
  <c r="V189" i="2"/>
  <c r="V229" i="2"/>
  <c r="V139" i="2"/>
  <c r="V175" i="2"/>
  <c r="V217" i="2"/>
  <c r="E24" i="17"/>
  <c r="E25" i="17" s="1"/>
  <c r="M146" i="2" l="1"/>
  <c r="E146" i="2"/>
  <c r="I146" i="2"/>
  <c r="U336" i="1"/>
  <c r="I115" i="2"/>
  <c r="E115" i="2"/>
  <c r="M115" i="2"/>
  <c r="E246" i="2"/>
  <c r="I246" i="2"/>
  <c r="M246" i="2"/>
  <c r="E129" i="2"/>
  <c r="M129" i="2"/>
  <c r="I129" i="2"/>
  <c r="M236" i="2"/>
  <c r="I236" i="2"/>
  <c r="E236" i="2"/>
  <c r="I190" i="2"/>
  <c r="E190" i="2"/>
  <c r="M190" i="2"/>
  <c r="E139" i="2"/>
  <c r="M139" i="2"/>
  <c r="I139" i="2"/>
  <c r="M330" i="2"/>
  <c r="I330" i="2"/>
  <c r="E330" i="2"/>
  <c r="E318" i="2"/>
  <c r="M318" i="2"/>
  <c r="I318" i="2"/>
  <c r="I68" i="2"/>
  <c r="M68" i="2"/>
  <c r="E68" i="2"/>
  <c r="M223" i="2"/>
  <c r="E223" i="2"/>
  <c r="I223" i="2"/>
  <c r="E59" i="2"/>
  <c r="M59" i="2"/>
  <c r="I59" i="2"/>
  <c r="E39" i="2"/>
  <c r="M39" i="2"/>
  <c r="I39" i="2"/>
  <c r="E6" i="2"/>
  <c r="I6" i="2"/>
  <c r="M6" i="2"/>
  <c r="O325" i="1"/>
  <c r="O313" i="1"/>
  <c r="O301" i="1"/>
  <c r="O287" i="1"/>
  <c r="O330" i="1"/>
  <c r="O324" i="1"/>
  <c r="O293" i="1"/>
  <c r="O276" i="1"/>
  <c r="O264" i="1"/>
  <c r="O250" i="1"/>
  <c r="O238" i="1"/>
  <c r="O226" i="1"/>
  <c r="O214" i="1"/>
  <c r="O317" i="1"/>
  <c r="O289" i="1"/>
  <c r="O288" i="1"/>
  <c r="O286" i="1"/>
  <c r="O272" i="1"/>
  <c r="O260" i="1"/>
  <c r="O246" i="1"/>
  <c r="O234" i="1"/>
  <c r="O222" i="1"/>
  <c r="O210" i="1"/>
  <c r="O326" i="1"/>
  <c r="O320" i="1"/>
  <c r="O318" i="1"/>
  <c r="O323" i="1"/>
  <c r="O309" i="1"/>
  <c r="O245" i="1"/>
  <c r="O228" i="1"/>
  <c r="O227" i="1"/>
  <c r="O224" i="1"/>
  <c r="O310" i="1"/>
  <c r="O244" i="1"/>
  <c r="O243" i="1"/>
  <c r="O242" i="1"/>
  <c r="O241" i="1"/>
  <c r="O237" i="1"/>
  <c r="O235" i="1"/>
  <c r="O312" i="1"/>
  <c r="O311" i="1"/>
  <c r="O259" i="1"/>
  <c r="O240" i="1"/>
  <c r="O239" i="1"/>
  <c r="O236" i="1"/>
  <c r="O292" i="1"/>
  <c r="O290" i="1"/>
  <c r="O258" i="1"/>
  <c r="O257" i="1"/>
  <c r="O256" i="1"/>
  <c r="O314" i="1"/>
  <c r="O297" i="1"/>
  <c r="O270" i="1"/>
  <c r="O269" i="1"/>
  <c r="O268" i="1"/>
  <c r="O267" i="1"/>
  <c r="O263" i="1"/>
  <c r="O261" i="1"/>
  <c r="O190" i="1"/>
  <c r="O178" i="1"/>
  <c r="O164" i="1"/>
  <c r="O152" i="1"/>
  <c r="O283" i="1"/>
  <c r="O215" i="1"/>
  <c r="O181" i="1"/>
  <c r="O175" i="1"/>
  <c r="O150" i="1"/>
  <c r="O136" i="1"/>
  <c r="O122" i="1"/>
  <c r="O108" i="1"/>
  <c r="O285" i="1"/>
  <c r="O229" i="1"/>
  <c r="O219" i="1"/>
  <c r="O327" i="1"/>
  <c r="O308" i="1"/>
  <c r="O298" i="1"/>
  <c r="O274" i="1"/>
  <c r="O266" i="1"/>
  <c r="O230" i="1"/>
  <c r="O221" i="1"/>
  <c r="O220" i="1"/>
  <c r="O207" i="1"/>
  <c r="O201" i="1"/>
  <c r="O200" i="1"/>
  <c r="O199" i="1"/>
  <c r="O302" i="1"/>
  <c r="O275" i="1"/>
  <c r="O206" i="1"/>
  <c r="O205" i="1"/>
  <c r="O204" i="1"/>
  <c r="O203" i="1"/>
  <c r="O202" i="1"/>
  <c r="O198" i="1"/>
  <c r="O168" i="1"/>
  <c r="O146" i="1"/>
  <c r="O132" i="1"/>
  <c r="O118" i="1"/>
  <c r="O104" i="1"/>
  <c r="O319" i="1"/>
  <c r="O271" i="1"/>
  <c r="O231" i="1"/>
  <c r="O197" i="1"/>
  <c r="O167" i="1"/>
  <c r="O163" i="1"/>
  <c r="O145" i="1"/>
  <c r="O131" i="1"/>
  <c r="O117" i="1"/>
  <c r="O103" i="1"/>
  <c r="O251" i="1"/>
  <c r="O196" i="1"/>
  <c r="O166" i="1"/>
  <c r="O165" i="1"/>
  <c r="O162" i="1"/>
  <c r="O161" i="1"/>
  <c r="O160" i="1"/>
  <c r="O159" i="1"/>
  <c r="O144" i="1"/>
  <c r="O130" i="1"/>
  <c r="O331" i="1"/>
  <c r="O315" i="1"/>
  <c r="O305" i="1"/>
  <c r="O303" i="1"/>
  <c r="O299" i="1"/>
  <c r="O296" i="1"/>
  <c r="O233" i="1"/>
  <c r="O232" i="1"/>
  <c r="O211" i="1"/>
  <c r="O195" i="1"/>
  <c r="O189" i="1"/>
  <c r="O158" i="1"/>
  <c r="O143" i="1"/>
  <c r="O129" i="1"/>
  <c r="O115" i="1"/>
  <c r="O101" i="1"/>
  <c r="O334" i="1"/>
  <c r="O306" i="1"/>
  <c r="O300" i="1"/>
  <c r="O254" i="1"/>
  <c r="O213" i="1"/>
  <c r="O212" i="1"/>
  <c r="O184" i="1"/>
  <c r="O156" i="1"/>
  <c r="O141" i="1"/>
  <c r="O127" i="1"/>
  <c r="O111" i="1"/>
  <c r="O99" i="1"/>
  <c r="O278" i="1"/>
  <c r="O223" i="1"/>
  <c r="O216" i="1"/>
  <c r="O321" i="1"/>
  <c r="O307" i="1"/>
  <c r="O262" i="1"/>
  <c r="O247" i="1"/>
  <c r="O180" i="1"/>
  <c r="O172" i="1"/>
  <c r="O157" i="1"/>
  <c r="O135" i="1"/>
  <c r="O134" i="1"/>
  <c r="O133" i="1"/>
  <c r="O125" i="1"/>
  <c r="O83" i="1"/>
  <c r="O71" i="1"/>
  <c r="O57" i="1"/>
  <c r="O273" i="1"/>
  <c r="O265" i="1"/>
  <c r="O255" i="1"/>
  <c r="O173" i="1"/>
  <c r="O153" i="1"/>
  <c r="O126" i="1"/>
  <c r="O116" i="1"/>
  <c r="O81" i="1"/>
  <c r="O69" i="1"/>
  <c r="O55" i="1"/>
  <c r="O41" i="1"/>
  <c r="O29" i="1"/>
  <c r="O17" i="1"/>
  <c r="O322" i="1"/>
  <c r="O279" i="1"/>
  <c r="O218" i="1"/>
  <c r="O282" i="1"/>
  <c r="O248" i="1"/>
  <c r="O182" i="1"/>
  <c r="O174" i="1"/>
  <c r="O149" i="1"/>
  <c r="O148" i="1"/>
  <c r="O147" i="1"/>
  <c r="O139" i="1"/>
  <c r="O110" i="1"/>
  <c r="O79" i="1"/>
  <c r="O67" i="1"/>
  <c r="O53" i="1"/>
  <c r="O304" i="1"/>
  <c r="O194" i="1"/>
  <c r="O186" i="1"/>
  <c r="O154" i="1"/>
  <c r="O291" i="1"/>
  <c r="O183" i="1"/>
  <c r="O316" i="1"/>
  <c r="O277" i="1"/>
  <c r="O249" i="1"/>
  <c r="O225" i="1"/>
  <c r="O155" i="1"/>
  <c r="O191" i="1"/>
  <c r="O128" i="1"/>
  <c r="O92" i="1"/>
  <c r="O78" i="1"/>
  <c r="O77" i="1"/>
  <c r="O73" i="1"/>
  <c r="O72" i="1"/>
  <c r="O32" i="1"/>
  <c r="O28" i="1"/>
  <c r="O63" i="1"/>
  <c r="O23" i="1"/>
  <c r="O91" i="1"/>
  <c r="O70" i="1"/>
  <c r="O6" i="1"/>
  <c r="O94" i="1"/>
  <c r="O93" i="1"/>
  <c r="O56" i="1"/>
  <c r="O31" i="1"/>
  <c r="O30" i="1"/>
  <c r="O27" i="1"/>
  <c r="O26" i="1"/>
  <c r="O25" i="1"/>
  <c r="O24" i="1"/>
  <c r="O105" i="1"/>
  <c r="O64" i="1"/>
  <c r="O62" i="1"/>
  <c r="O112" i="1"/>
  <c r="O34" i="1"/>
  <c r="O54" i="1"/>
  <c r="O119" i="1"/>
  <c r="O106" i="1"/>
  <c r="O95" i="1"/>
  <c r="O66" i="1"/>
  <c r="O65" i="1"/>
  <c r="O59" i="1"/>
  <c r="O58" i="1"/>
  <c r="O22" i="1"/>
  <c r="O217" i="1"/>
  <c r="O187" i="1"/>
  <c r="O107" i="1"/>
  <c r="O96" i="1"/>
  <c r="O80" i="1"/>
  <c r="O21" i="1"/>
  <c r="O151" i="1"/>
  <c r="O142" i="1"/>
  <c r="O120" i="1"/>
  <c r="O50" i="1"/>
  <c r="O49" i="1"/>
  <c r="O48" i="1"/>
  <c r="O20" i="1"/>
  <c r="O14" i="1"/>
  <c r="O185" i="1"/>
  <c r="O179" i="1"/>
  <c r="O169" i="1"/>
  <c r="O121" i="1"/>
  <c r="O102" i="1"/>
  <c r="O52" i="1"/>
  <c r="O51" i="1"/>
  <c r="O47" i="1"/>
  <c r="O19" i="1"/>
  <c r="O18" i="1"/>
  <c r="O13" i="1"/>
  <c r="O12" i="1"/>
  <c r="O11" i="1"/>
  <c r="O10" i="1"/>
  <c r="O82" i="1"/>
  <c r="O68" i="1"/>
  <c r="O46" i="1"/>
  <c r="O40" i="1"/>
  <c r="O9" i="1"/>
  <c r="O170" i="1"/>
  <c r="O140" i="1"/>
  <c r="O90" i="1"/>
  <c r="O89" i="1"/>
  <c r="O88" i="1"/>
  <c r="O45" i="1"/>
  <c r="O44" i="1"/>
  <c r="O39" i="1"/>
  <c r="O38" i="1"/>
  <c r="O37" i="1"/>
  <c r="O36" i="1"/>
  <c r="O8" i="1"/>
  <c r="O188" i="1"/>
  <c r="O171" i="1"/>
  <c r="O85" i="1"/>
  <c r="O84" i="1"/>
  <c r="O35" i="1"/>
  <c r="O7" i="1"/>
  <c r="O284" i="1"/>
  <c r="O75" i="1"/>
  <c r="O76" i="1"/>
  <c r="O4" i="1"/>
  <c r="O100" i="1"/>
  <c r="O109" i="1"/>
  <c r="O33" i="1"/>
  <c r="O74" i="1"/>
  <c r="O5" i="1"/>
  <c r="I231" i="2"/>
  <c r="E231" i="2"/>
  <c r="M231" i="2"/>
  <c r="M336" i="1"/>
  <c r="I175" i="2"/>
  <c r="M175" i="2"/>
  <c r="E175" i="2"/>
  <c r="I10" i="2"/>
  <c r="E10" i="2"/>
  <c r="M10" i="2"/>
  <c r="E306" i="2"/>
  <c r="I306" i="2"/>
  <c r="M306" i="2"/>
  <c r="I122" i="2"/>
  <c r="M122" i="2"/>
  <c r="E122" i="2"/>
  <c r="M44" i="2"/>
  <c r="E44" i="2"/>
  <c r="I44" i="2"/>
  <c r="V336" i="1"/>
  <c r="E143" i="2"/>
  <c r="M143" i="2"/>
  <c r="I143" i="2"/>
  <c r="M250" i="2"/>
  <c r="I250" i="2"/>
  <c r="E250" i="2"/>
  <c r="M257" i="2"/>
  <c r="E257" i="2"/>
  <c r="I257" i="2"/>
  <c r="M107" i="2"/>
  <c r="E107" i="2"/>
  <c r="I107" i="2"/>
  <c r="M83" i="2"/>
  <c r="I83" i="2"/>
  <c r="E83" i="2"/>
  <c r="M290" i="2"/>
  <c r="E290" i="2"/>
  <c r="I290" i="2"/>
  <c r="E26" i="2"/>
  <c r="M26" i="2"/>
  <c r="I26" i="2"/>
  <c r="E64" i="2"/>
  <c r="I64" i="2"/>
  <c r="M64" i="2"/>
  <c r="N326" i="1"/>
  <c r="N314" i="1"/>
  <c r="N302" i="1"/>
  <c r="N288" i="1"/>
  <c r="N331" i="1"/>
  <c r="N303" i="1"/>
  <c r="N299" i="1"/>
  <c r="N298" i="1"/>
  <c r="N297" i="1"/>
  <c r="N296" i="1"/>
  <c r="N277" i="1"/>
  <c r="N265" i="1"/>
  <c r="N251" i="1"/>
  <c r="N239" i="1"/>
  <c r="N227" i="1"/>
  <c r="N215" i="1"/>
  <c r="N318" i="1"/>
  <c r="N290" i="1"/>
  <c r="N287" i="1"/>
  <c r="N273" i="1"/>
  <c r="N261" i="1"/>
  <c r="N247" i="1"/>
  <c r="N235" i="1"/>
  <c r="N223" i="1"/>
  <c r="N211" i="1"/>
  <c r="N301" i="1"/>
  <c r="N322" i="1"/>
  <c r="N308" i="1"/>
  <c r="N304" i="1"/>
  <c r="N234" i="1"/>
  <c r="N232" i="1"/>
  <c r="N231" i="1"/>
  <c r="N230" i="1"/>
  <c r="N229" i="1"/>
  <c r="N226" i="1"/>
  <c r="N225" i="1"/>
  <c r="N324" i="1"/>
  <c r="N323" i="1"/>
  <c r="N309" i="1"/>
  <c r="N245" i="1"/>
  <c r="N310" i="1"/>
  <c r="N289" i="1"/>
  <c r="N246" i="1"/>
  <c r="N244" i="1"/>
  <c r="N243" i="1"/>
  <c r="N242" i="1"/>
  <c r="N241" i="1"/>
  <c r="N238" i="1"/>
  <c r="N237" i="1"/>
  <c r="N325" i="1"/>
  <c r="N312" i="1"/>
  <c r="N311" i="1"/>
  <c r="N259" i="1"/>
  <c r="N291" i="1"/>
  <c r="N271" i="1"/>
  <c r="N254" i="1"/>
  <c r="N248" i="1"/>
  <c r="N191" i="1"/>
  <c r="N179" i="1"/>
  <c r="N165" i="1"/>
  <c r="N153" i="1"/>
  <c r="N307" i="1"/>
  <c r="N282" i="1"/>
  <c r="N279" i="1"/>
  <c r="N255" i="1"/>
  <c r="N182" i="1"/>
  <c r="N154" i="1"/>
  <c r="N151" i="1"/>
  <c r="N139" i="1"/>
  <c r="N125" i="1"/>
  <c r="N109" i="1"/>
  <c r="N284" i="1"/>
  <c r="N270" i="1"/>
  <c r="N262" i="1"/>
  <c r="N249" i="1"/>
  <c r="N228" i="1"/>
  <c r="N218" i="1"/>
  <c r="N217" i="1"/>
  <c r="N216" i="1"/>
  <c r="N285" i="1"/>
  <c r="N256" i="1"/>
  <c r="N219" i="1"/>
  <c r="N327" i="1"/>
  <c r="N293" i="1"/>
  <c r="N274" i="1"/>
  <c r="N266" i="1"/>
  <c r="N250" i="1"/>
  <c r="N221" i="1"/>
  <c r="N220" i="1"/>
  <c r="N207" i="1"/>
  <c r="N201" i="1"/>
  <c r="N200" i="1"/>
  <c r="N199" i="1"/>
  <c r="N169" i="1"/>
  <c r="N147" i="1"/>
  <c r="N133" i="1"/>
  <c r="N119" i="1"/>
  <c r="N105" i="1"/>
  <c r="N91" i="1"/>
  <c r="N275" i="1"/>
  <c r="N263" i="1"/>
  <c r="N260" i="1"/>
  <c r="N236" i="1"/>
  <c r="N210" i="1"/>
  <c r="N206" i="1"/>
  <c r="N205" i="1"/>
  <c r="N204" i="1"/>
  <c r="N203" i="1"/>
  <c r="N202" i="1"/>
  <c r="N198" i="1"/>
  <c r="N168" i="1"/>
  <c r="N146" i="1"/>
  <c r="N132" i="1"/>
  <c r="N118" i="1"/>
  <c r="N104" i="1"/>
  <c r="N330" i="1"/>
  <c r="N319" i="1"/>
  <c r="N286" i="1"/>
  <c r="N257" i="1"/>
  <c r="N222" i="1"/>
  <c r="N197" i="1"/>
  <c r="N167" i="1"/>
  <c r="N164" i="1"/>
  <c r="N163" i="1"/>
  <c r="N145" i="1"/>
  <c r="N131" i="1"/>
  <c r="N320" i="1"/>
  <c r="N276" i="1"/>
  <c r="N267" i="1"/>
  <c r="N196" i="1"/>
  <c r="N166" i="1"/>
  <c r="N162" i="1"/>
  <c r="N161" i="1"/>
  <c r="N160" i="1"/>
  <c r="N159" i="1"/>
  <c r="N144" i="1"/>
  <c r="N130" i="1"/>
  <c r="N116" i="1"/>
  <c r="N102" i="1"/>
  <c r="N321" i="1"/>
  <c r="N272" i="1"/>
  <c r="N268" i="1"/>
  <c r="N194" i="1"/>
  <c r="N188" i="1"/>
  <c r="N187" i="1"/>
  <c r="N186" i="1"/>
  <c r="N185" i="1"/>
  <c r="N157" i="1"/>
  <c r="N142" i="1"/>
  <c r="N128" i="1"/>
  <c r="N112" i="1"/>
  <c r="N100" i="1"/>
  <c r="N334" i="1"/>
  <c r="N212" i="1"/>
  <c r="N171" i="1"/>
  <c r="N170" i="1"/>
  <c r="N152" i="1"/>
  <c r="N278" i="1"/>
  <c r="N107" i="1"/>
  <c r="N106" i="1"/>
  <c r="N84" i="1"/>
  <c r="N72" i="1"/>
  <c r="N58" i="1"/>
  <c r="N181" i="1"/>
  <c r="N136" i="1"/>
  <c r="N82" i="1"/>
  <c r="N70" i="1"/>
  <c r="N56" i="1"/>
  <c r="N44" i="1"/>
  <c r="N30" i="1"/>
  <c r="N18" i="1"/>
  <c r="N4" i="1"/>
  <c r="N315" i="1"/>
  <c r="N300" i="1"/>
  <c r="N224" i="1"/>
  <c r="N173" i="1"/>
  <c r="N126" i="1"/>
  <c r="N313" i="1"/>
  <c r="N158" i="1"/>
  <c r="N117" i="1"/>
  <c r="N80" i="1"/>
  <c r="N68" i="1"/>
  <c r="N54" i="1"/>
  <c r="N258" i="1"/>
  <c r="N214" i="1"/>
  <c r="N189" i="1"/>
  <c r="N174" i="1"/>
  <c r="N149" i="1"/>
  <c r="N148" i="1"/>
  <c r="N143" i="1"/>
  <c r="N305" i="1"/>
  <c r="N283" i="1"/>
  <c r="N175" i="1"/>
  <c r="N150" i="1"/>
  <c r="N183" i="1"/>
  <c r="N317" i="1"/>
  <c r="N292" i="1"/>
  <c r="N213" i="1"/>
  <c r="N172" i="1"/>
  <c r="N155" i="1"/>
  <c r="N76" i="1"/>
  <c r="N75" i="1"/>
  <c r="N74" i="1"/>
  <c r="N71" i="1"/>
  <c r="N33" i="1"/>
  <c r="N5" i="1"/>
  <c r="N27" i="1"/>
  <c r="N25" i="1"/>
  <c r="N240" i="1"/>
  <c r="N135" i="1"/>
  <c r="N85" i="1"/>
  <c r="N7" i="1"/>
  <c r="N141" i="1"/>
  <c r="N92" i="1"/>
  <c r="N78" i="1"/>
  <c r="N77" i="1"/>
  <c r="N73" i="1"/>
  <c r="N55" i="1"/>
  <c r="N32" i="1"/>
  <c r="N29" i="1"/>
  <c r="N28" i="1"/>
  <c r="N115" i="1"/>
  <c r="N94" i="1"/>
  <c r="N93" i="1"/>
  <c r="N31" i="1"/>
  <c r="N26" i="1"/>
  <c r="N24" i="1"/>
  <c r="N180" i="1"/>
  <c r="N103" i="1"/>
  <c r="N69" i="1"/>
  <c r="N184" i="1"/>
  <c r="N178" i="1"/>
  <c r="N156" i="1"/>
  <c r="N110" i="1"/>
  <c r="N101" i="1"/>
  <c r="N79" i="1"/>
  <c r="N64" i="1"/>
  <c r="N63" i="1"/>
  <c r="N62" i="1"/>
  <c r="N57" i="1"/>
  <c r="N23" i="1"/>
  <c r="N129" i="1"/>
  <c r="N95" i="1"/>
  <c r="N66" i="1"/>
  <c r="N65" i="1"/>
  <c r="N59" i="1"/>
  <c r="N22" i="1"/>
  <c r="N96" i="1"/>
  <c r="N21" i="1"/>
  <c r="N120" i="1"/>
  <c r="N67" i="1"/>
  <c r="N50" i="1"/>
  <c r="N49" i="1"/>
  <c r="N48" i="1"/>
  <c r="N20" i="1"/>
  <c r="N17" i="1"/>
  <c r="N14" i="1"/>
  <c r="N306" i="1"/>
  <c r="N233" i="1"/>
  <c r="N190" i="1"/>
  <c r="N121" i="1"/>
  <c r="N111" i="1"/>
  <c r="N108" i="1"/>
  <c r="N81" i="1"/>
  <c r="N52" i="1"/>
  <c r="N51" i="1"/>
  <c r="N47" i="1"/>
  <c r="N19" i="1"/>
  <c r="N13" i="1"/>
  <c r="N12" i="1"/>
  <c r="N11" i="1"/>
  <c r="N10" i="1"/>
  <c r="N127" i="1"/>
  <c r="N99" i="1"/>
  <c r="N46" i="1"/>
  <c r="N41" i="1"/>
  <c r="N40" i="1"/>
  <c r="N9" i="1"/>
  <c r="N316" i="1"/>
  <c r="N269" i="1"/>
  <c r="N264" i="1"/>
  <c r="N140" i="1"/>
  <c r="N134" i="1"/>
  <c r="N122" i="1"/>
  <c r="N90" i="1"/>
  <c r="N89" i="1"/>
  <c r="N88" i="1"/>
  <c r="N83" i="1"/>
  <c r="N53" i="1"/>
  <c r="N45" i="1"/>
  <c r="N39" i="1"/>
  <c r="N38" i="1"/>
  <c r="N37" i="1"/>
  <c r="N36" i="1"/>
  <c r="N8" i="1"/>
  <c r="N35" i="1"/>
  <c r="N195" i="1"/>
  <c r="N6" i="1"/>
  <c r="N34" i="1"/>
  <c r="T336" i="1"/>
  <c r="M217" i="2"/>
  <c r="E217" i="2"/>
  <c r="I217" i="2"/>
  <c r="E324" i="2"/>
  <c r="I324" i="2"/>
  <c r="M324" i="2"/>
  <c r="E240" i="2"/>
  <c r="M240" i="2"/>
  <c r="I240" i="2"/>
  <c r="E232" i="2"/>
  <c r="M232" i="2"/>
  <c r="I232" i="2"/>
  <c r="I289" i="2"/>
  <c r="E289" i="2"/>
  <c r="M289" i="2"/>
  <c r="I278" i="2"/>
  <c r="M278" i="2"/>
  <c r="E278" i="2"/>
  <c r="E286" i="2"/>
  <c r="I286" i="2"/>
  <c r="M286" i="2"/>
  <c r="M104" i="2"/>
  <c r="I104" i="2"/>
  <c r="E104" i="2"/>
  <c r="E36" i="2"/>
  <c r="M36" i="2"/>
  <c r="I36" i="2"/>
  <c r="M178" i="2"/>
  <c r="I178" i="2"/>
  <c r="E178" i="2"/>
  <c r="M229" i="2"/>
  <c r="I229" i="2"/>
  <c r="E229" i="2"/>
  <c r="E207" i="2"/>
  <c r="M207" i="2"/>
  <c r="I207" i="2"/>
  <c r="E189" i="2"/>
  <c r="M189" i="2"/>
  <c r="I189" i="2"/>
  <c r="M112" i="2"/>
  <c r="I112" i="2"/>
  <c r="E112" i="2"/>
  <c r="E233" i="2"/>
  <c r="M233" i="2"/>
  <c r="I233" i="2"/>
  <c r="M50" i="2"/>
  <c r="I50" i="2"/>
  <c r="E50" i="2"/>
  <c r="I195" i="2"/>
  <c r="M195" i="2"/>
  <c r="E195" i="2"/>
  <c r="V336" i="2"/>
  <c r="M336" i="2" s="1"/>
  <c r="M19" i="2"/>
  <c r="E19" i="2"/>
  <c r="I19" i="2"/>
  <c r="I153" i="2"/>
  <c r="M153" i="2"/>
  <c r="E153" i="2"/>
  <c r="E260" i="2"/>
  <c r="I260" i="2"/>
  <c r="M260" i="2"/>
  <c r="I144" i="2"/>
  <c r="M144" i="2"/>
  <c r="E144" i="2"/>
  <c r="M151" i="2"/>
  <c r="E151" i="2"/>
  <c r="I151" i="2"/>
  <c r="M76" i="2"/>
  <c r="E76" i="2"/>
  <c r="I76" i="2"/>
  <c r="I221" i="2"/>
  <c r="E221" i="2"/>
  <c r="M221" i="2"/>
  <c r="E336" i="2" l="1"/>
  <c r="I336" i="2"/>
  <c r="P324" i="1"/>
  <c r="P312" i="1"/>
  <c r="P300" i="1"/>
  <c r="P327" i="1"/>
  <c r="P326" i="1"/>
  <c r="P325" i="1"/>
  <c r="P323" i="1"/>
  <c r="P322" i="1"/>
  <c r="P321" i="1"/>
  <c r="P320" i="1"/>
  <c r="P292" i="1"/>
  <c r="P275" i="1"/>
  <c r="P263" i="1"/>
  <c r="P249" i="1"/>
  <c r="P237" i="1"/>
  <c r="P225" i="1"/>
  <c r="P213" i="1"/>
  <c r="P316" i="1"/>
  <c r="P285" i="1"/>
  <c r="P271" i="1"/>
  <c r="P259" i="1"/>
  <c r="P245" i="1"/>
  <c r="P233" i="1"/>
  <c r="P221" i="1"/>
  <c r="P207" i="1"/>
  <c r="P319" i="1"/>
  <c r="P307" i="1"/>
  <c r="P306" i="1"/>
  <c r="P305" i="1"/>
  <c r="P302" i="1"/>
  <c r="P287" i="1"/>
  <c r="P310" i="1"/>
  <c r="P244" i="1"/>
  <c r="P243" i="1"/>
  <c r="P242" i="1"/>
  <c r="P241" i="1"/>
  <c r="P235" i="1"/>
  <c r="P311" i="1"/>
  <c r="P289" i="1"/>
  <c r="P246" i="1"/>
  <c r="P240" i="1"/>
  <c r="P239" i="1"/>
  <c r="P238" i="1"/>
  <c r="P236" i="1"/>
  <c r="P290" i="1"/>
  <c r="P258" i="1"/>
  <c r="P257" i="1"/>
  <c r="P256" i="1"/>
  <c r="P255" i="1"/>
  <c r="P247" i="1"/>
  <c r="P313" i="1"/>
  <c r="P296" i="1"/>
  <c r="P293" i="1"/>
  <c r="P291" i="1"/>
  <c r="P260" i="1"/>
  <c r="P315" i="1"/>
  <c r="P298" i="1"/>
  <c r="P272" i="1"/>
  <c r="P266" i="1"/>
  <c r="P265" i="1"/>
  <c r="P264" i="1"/>
  <c r="P262" i="1"/>
  <c r="P189" i="1"/>
  <c r="P175" i="1"/>
  <c r="P163" i="1"/>
  <c r="P317" i="1"/>
  <c r="P288" i="1"/>
  <c r="P284" i="1"/>
  <c r="P273" i="1"/>
  <c r="P227" i="1"/>
  <c r="P218" i="1"/>
  <c r="P217" i="1"/>
  <c r="P216" i="1"/>
  <c r="P180" i="1"/>
  <c r="P179" i="1"/>
  <c r="P178" i="1"/>
  <c r="P174" i="1"/>
  <c r="P173" i="1"/>
  <c r="P172" i="1"/>
  <c r="P171" i="1"/>
  <c r="P149" i="1"/>
  <c r="P135" i="1"/>
  <c r="P121" i="1"/>
  <c r="P107" i="1"/>
  <c r="P318" i="1"/>
  <c r="P308" i="1"/>
  <c r="P274" i="1"/>
  <c r="P230" i="1"/>
  <c r="P220" i="1"/>
  <c r="P201" i="1"/>
  <c r="P200" i="1"/>
  <c r="P199" i="1"/>
  <c r="P314" i="1"/>
  <c r="P250" i="1"/>
  <c r="P206" i="1"/>
  <c r="P205" i="1"/>
  <c r="P204" i="1"/>
  <c r="P203" i="1"/>
  <c r="P202" i="1"/>
  <c r="P198" i="1"/>
  <c r="P231" i="1"/>
  <c r="P210" i="1"/>
  <c r="P197" i="1"/>
  <c r="P167" i="1"/>
  <c r="P145" i="1"/>
  <c r="P131" i="1"/>
  <c r="P117" i="1"/>
  <c r="P103" i="1"/>
  <c r="P330" i="1"/>
  <c r="P286" i="1"/>
  <c r="P251" i="1"/>
  <c r="P222" i="1"/>
  <c r="P196" i="1"/>
  <c r="P166" i="1"/>
  <c r="P165" i="1"/>
  <c r="P164" i="1"/>
  <c r="P162" i="1"/>
  <c r="P161" i="1"/>
  <c r="P160" i="1"/>
  <c r="P159" i="1"/>
  <c r="P144" i="1"/>
  <c r="P130" i="1"/>
  <c r="P116" i="1"/>
  <c r="P102" i="1"/>
  <c r="P331" i="1"/>
  <c r="P309" i="1"/>
  <c r="P303" i="1"/>
  <c r="P299" i="1"/>
  <c r="P276" i="1"/>
  <c r="P267" i="1"/>
  <c r="P232" i="1"/>
  <c r="P211" i="1"/>
  <c r="P195" i="1"/>
  <c r="P158" i="1"/>
  <c r="P143" i="1"/>
  <c r="P129" i="1"/>
  <c r="P304" i="1"/>
  <c r="P277" i="1"/>
  <c r="P223" i="1"/>
  <c r="P194" i="1"/>
  <c r="P191" i="1"/>
  <c r="P190" i="1"/>
  <c r="P188" i="1"/>
  <c r="P187" i="1"/>
  <c r="P186" i="1"/>
  <c r="P185" i="1"/>
  <c r="P157" i="1"/>
  <c r="P142" i="1"/>
  <c r="P128" i="1"/>
  <c r="P112" i="1"/>
  <c r="P100" i="1"/>
  <c r="P278" i="1"/>
  <c r="P261" i="1"/>
  <c r="P224" i="1"/>
  <c r="P183" i="1"/>
  <c r="P155" i="1"/>
  <c r="P140" i="1"/>
  <c r="P126" i="1"/>
  <c r="P110" i="1"/>
  <c r="P96" i="1"/>
  <c r="P297" i="1"/>
  <c r="P270" i="1"/>
  <c r="P234" i="1"/>
  <c r="P115" i="1"/>
  <c r="P108" i="1"/>
  <c r="P82" i="1"/>
  <c r="P70" i="1"/>
  <c r="P56" i="1"/>
  <c r="P279" i="1"/>
  <c r="P146" i="1"/>
  <c r="P109" i="1"/>
  <c r="P80" i="1"/>
  <c r="P68" i="1"/>
  <c r="P54" i="1"/>
  <c r="P40" i="1"/>
  <c r="P28" i="1"/>
  <c r="P14" i="1"/>
  <c r="P147" i="1"/>
  <c r="P139" i="1"/>
  <c r="P282" i="1"/>
  <c r="P248" i="1"/>
  <c r="P228" i="1"/>
  <c r="P182" i="1"/>
  <c r="P148" i="1"/>
  <c r="P268" i="1"/>
  <c r="P214" i="1"/>
  <c r="P154" i="1"/>
  <c r="P101" i="1"/>
  <c r="P78" i="1"/>
  <c r="P66" i="1"/>
  <c r="P52" i="1"/>
  <c r="P283" i="1"/>
  <c r="P229" i="1"/>
  <c r="P150" i="1"/>
  <c r="P127" i="1"/>
  <c r="P301" i="1"/>
  <c r="P269" i="1"/>
  <c r="P219" i="1"/>
  <c r="P215" i="1"/>
  <c r="P151" i="1"/>
  <c r="P181" i="1"/>
  <c r="P141" i="1"/>
  <c r="P136" i="1"/>
  <c r="P104" i="1"/>
  <c r="P94" i="1"/>
  <c r="P93" i="1"/>
  <c r="P55" i="1"/>
  <c r="P31" i="1"/>
  <c r="P30" i="1"/>
  <c r="P29" i="1"/>
  <c r="P27" i="1"/>
  <c r="P26" i="1"/>
  <c r="P25" i="1"/>
  <c r="P24" i="1"/>
  <c r="P58" i="1"/>
  <c r="P75" i="1"/>
  <c r="P33" i="1"/>
  <c r="P4" i="1"/>
  <c r="P184" i="1"/>
  <c r="P105" i="1"/>
  <c r="P64" i="1"/>
  <c r="P63" i="1"/>
  <c r="P62" i="1"/>
  <c r="P23" i="1"/>
  <c r="P156" i="1"/>
  <c r="P119" i="1"/>
  <c r="P95" i="1"/>
  <c r="P79" i="1"/>
  <c r="P65" i="1"/>
  <c r="P59" i="1"/>
  <c r="P57" i="1"/>
  <c r="P22" i="1"/>
  <c r="P152" i="1"/>
  <c r="P76" i="1"/>
  <c r="P74" i="1"/>
  <c r="P153" i="1"/>
  <c r="P106" i="1"/>
  <c r="P254" i="1"/>
  <c r="P168" i="1"/>
  <c r="P21" i="1"/>
  <c r="P334" i="1"/>
  <c r="P120" i="1"/>
  <c r="P50" i="1"/>
  <c r="P49" i="1"/>
  <c r="P48" i="1"/>
  <c r="P20" i="1"/>
  <c r="P19" i="1"/>
  <c r="P17" i="1"/>
  <c r="P12" i="1"/>
  <c r="P10" i="1"/>
  <c r="P169" i="1"/>
  <c r="P132" i="1"/>
  <c r="P67" i="1"/>
  <c r="P51" i="1"/>
  <c r="P47" i="1"/>
  <c r="P18" i="1"/>
  <c r="P13" i="1"/>
  <c r="P11" i="1"/>
  <c r="P111" i="1"/>
  <c r="P81" i="1"/>
  <c r="P46" i="1"/>
  <c r="P9" i="1"/>
  <c r="P226" i="1"/>
  <c r="P170" i="1"/>
  <c r="P133" i="1"/>
  <c r="P99" i="1"/>
  <c r="P90" i="1"/>
  <c r="P89" i="1"/>
  <c r="P88" i="1"/>
  <c r="P45" i="1"/>
  <c r="P44" i="1"/>
  <c r="P41" i="1"/>
  <c r="P39" i="1"/>
  <c r="P38" i="1"/>
  <c r="P37" i="1"/>
  <c r="P36" i="1"/>
  <c r="P8" i="1"/>
  <c r="P212" i="1"/>
  <c r="P134" i="1"/>
  <c r="P122" i="1"/>
  <c r="P85" i="1"/>
  <c r="P84" i="1"/>
  <c r="P83" i="1"/>
  <c r="P53" i="1"/>
  <c r="P35" i="1"/>
  <c r="P7" i="1"/>
  <c r="P91" i="1"/>
  <c r="P69" i="1"/>
  <c r="P34" i="1"/>
  <c r="P6" i="1"/>
  <c r="P5" i="1"/>
  <c r="P73" i="1"/>
  <c r="P125" i="1"/>
  <c r="P92" i="1"/>
  <c r="P32" i="1"/>
  <c r="P72" i="1"/>
  <c r="P118" i="1"/>
  <c r="P77" i="1"/>
  <c r="P71" i="1"/>
  <c r="N336" i="1"/>
  <c r="O336" i="1"/>
  <c r="P336" i="1" l="1"/>
</calcChain>
</file>

<file path=xl/sharedStrings.xml><?xml version="1.0" encoding="utf-8"?>
<sst xmlns="http://schemas.openxmlformats.org/spreadsheetml/2006/main" count="2168" uniqueCount="356">
  <si>
    <t>Agency</t>
  </si>
  <si>
    <t>On Hand 1 July 2025</t>
  </si>
  <si>
    <t>Requests received from applicant</t>
  </si>
  <si>
    <t>Requests on transfer</t>
  </si>
  <si>
    <t>Total requests received</t>
  </si>
  <si>
    <t>% share of total of all agencies' requests received</t>
  </si>
  <si>
    <t>Requests finalised</t>
  </si>
  <si>
    <t>On hand 30 June 2026</t>
  </si>
  <si>
    <t>Agriculture, Fisheries and Forestry</t>
  </si>
  <si>
    <t>AgriFutures</t>
  </si>
  <si>
    <t>Assistant Minister for Agriculture, Fisheries and Forestry</t>
  </si>
  <si>
    <t>Australian Fisheries Management Authority</t>
  </si>
  <si>
    <t>Australian Pesticides and Veterinary Medicines Authority</t>
  </si>
  <si>
    <t>Cotton Research and Development Corporation</t>
  </si>
  <si>
    <t>Department of Agriculture, Fisheries and Forestry</t>
  </si>
  <si>
    <t>Fisheries Research and Development Corporation</t>
  </si>
  <si>
    <t>Grains Research and Development Corporation</t>
  </si>
  <si>
    <t>Minister for Agriculture, Fisheries and Forestry</t>
  </si>
  <si>
    <t>Regional Investment Corporation</t>
  </si>
  <si>
    <t>Wine Australia</t>
  </si>
  <si>
    <t>Attorney-General's</t>
  </si>
  <si>
    <t>Administrative Review Council</t>
  </si>
  <si>
    <t>Administrative Review Tribunal</t>
  </si>
  <si>
    <t>Admiralty Rules Committee</t>
  </si>
  <si>
    <t>Attorney-General</t>
  </si>
  <si>
    <t>Attorney-General's Department</t>
  </si>
  <si>
    <t>Australian Anti-Slavery Commissioner</t>
  </si>
  <si>
    <t>Australian Human Rights Commission</t>
  </si>
  <si>
    <t>Australian Law Reform Commission</t>
  </si>
  <si>
    <t>Commonwealth Ombudsman</t>
  </si>
  <si>
    <t>Copyright Tribunal of Australia</t>
  </si>
  <si>
    <t>Defence Force Discipline Appeal Tribunal</t>
  </si>
  <si>
    <t>Family Law Council</t>
  </si>
  <si>
    <t>Federal Circuit and Family Court of Australia (Division 1)</t>
  </si>
  <si>
    <t>Federal Circuit and Family Court of Australia (Division 2)</t>
  </si>
  <si>
    <t>Federal Court of Australia</t>
  </si>
  <si>
    <t>High Court of Australia</t>
  </si>
  <si>
    <t xml:space="preserve">Inspector of the National Anti-Corruption Commission </t>
  </si>
  <si>
    <t>National Anti-Corruption Commission</t>
  </si>
  <si>
    <t>National Native Title Tribunal</t>
  </si>
  <si>
    <t>Office of Parliamentary Counsel</t>
  </si>
  <si>
    <t>Office of the Australian Information Commissioner</t>
  </si>
  <si>
    <t>Office of the Commonwealth Director of Public Prosecutions</t>
  </si>
  <si>
    <t>Office of the Independent National Security Legislation Monitor (INSLM)</t>
  </si>
  <si>
    <t>Office of the Special Investigator</t>
  </si>
  <si>
    <t>Solicitor-General</t>
  </si>
  <si>
    <t xml:space="preserve">Climate Change, Energy, the Environment and Water </t>
  </si>
  <si>
    <t>Assistant Minister for Climate Change and Energy</t>
  </si>
  <si>
    <t>Australian Heritage Council</t>
  </si>
  <si>
    <t>Australian Institute of Marine Science</t>
  </si>
  <si>
    <t>Australian Renewable Energy Agency</t>
  </si>
  <si>
    <t>Bureau of Meteorology</t>
  </si>
  <si>
    <t>Clean Energy Finance Corporation</t>
  </si>
  <si>
    <t>Clean Energy Regulator</t>
  </si>
  <si>
    <t>Climate Change Authority</t>
  </si>
  <si>
    <t>Department of Climate Change, Energy, the Environment and Water</t>
  </si>
  <si>
    <t>Director of National Parks</t>
  </si>
  <si>
    <t>Great Barrier Reef Marine Park Authority</t>
  </si>
  <si>
    <t xml:space="preserve">Inspector-General of Water Compliance </t>
  </si>
  <si>
    <t>Minister for Climate Change and Energy</t>
  </si>
  <si>
    <t>Minister for the Environment and Water</t>
  </si>
  <si>
    <t>Murray-Darling Basin Authority</t>
  </si>
  <si>
    <t>Sydney Harbour Federation Trust</t>
  </si>
  <si>
    <t>Defence</t>
  </si>
  <si>
    <t>Army and Air Force Canteen Service</t>
  </si>
  <si>
    <t>Assistant Minister for Defence</t>
  </si>
  <si>
    <t>Australian Military Forces Relief Trust Fund</t>
  </si>
  <si>
    <t>Australian Naval Nuclear Power Safety Regulator</t>
  </si>
  <si>
    <t xml:space="preserve">Australian Submarine Agency </t>
  </si>
  <si>
    <t>Australian War Memorial</t>
  </si>
  <si>
    <t>Defence Families of Australia</t>
  </si>
  <si>
    <t>Defence Housing Australia</t>
  </si>
  <si>
    <t>Department of Defence</t>
  </si>
  <si>
    <t>Department of Veterans' Affairs</t>
  </si>
  <si>
    <t>Deputy Prime Minister</t>
  </si>
  <si>
    <t>Military Rehabilitation and Compensation Commission</t>
  </si>
  <si>
    <t>Minister for Defence</t>
  </si>
  <si>
    <t>Minister for Defence Industry</t>
  </si>
  <si>
    <t>Minister for Defence Personnel</t>
  </si>
  <si>
    <t>Minister for Veterans' Affairs</t>
  </si>
  <si>
    <t>Repatriation Commission</t>
  </si>
  <si>
    <t>Repatriation Medical Authority</t>
  </si>
  <si>
    <t>Royal Australian Air Force Veterans' Residences Trust Fund</t>
  </si>
  <si>
    <t>Royal Australian Air Force Welfare Trust Fund</t>
  </si>
  <si>
    <t>Royal Australian Navy Central Canteens Board</t>
  </si>
  <si>
    <t>Royal Australian Navy Relief Trust Fund</t>
  </si>
  <si>
    <t>Specialist Medical Review Council</t>
  </si>
  <si>
    <t>Veterans' Review Board</t>
  </si>
  <si>
    <t>Education</t>
  </si>
  <si>
    <t>Assistant Minister for International Education</t>
  </si>
  <si>
    <t>Australian Curriculum, Assessment and Reporting Authority</t>
  </si>
  <si>
    <t>Australian National University</t>
  </si>
  <si>
    <t>Australian Research Council</t>
  </si>
  <si>
    <t>Department of Education</t>
  </si>
  <si>
    <t>Minister for Early Childhood Education</t>
  </si>
  <si>
    <t>Minister for Education</t>
  </si>
  <si>
    <t>Minister for Youth</t>
  </si>
  <si>
    <t>Tertiary Education Quality and Standards Agency</t>
  </si>
  <si>
    <t>Employment and Workplace Relations</t>
  </si>
  <si>
    <t>Asbestos and Silica Safety and Eradication Agency</t>
  </si>
  <si>
    <t>Assistant Minister for Employment and Workplace Relations</t>
  </si>
  <si>
    <t>Australian Skills Quality Authority</t>
  </si>
  <si>
    <t>Coal Mining Industry (Long Service Leave Funding) Corporation</t>
  </si>
  <si>
    <t>Comcare</t>
  </si>
  <si>
    <t>Department of Employment and Workplace Relations</t>
  </si>
  <si>
    <t>Director of Jobs and Skills Australia</t>
  </si>
  <si>
    <t>Fair Work Commission</t>
  </si>
  <si>
    <t>Fair Work Ombudsman</t>
  </si>
  <si>
    <t>Minister for Employment and Workplace Relations</t>
  </si>
  <si>
    <t>Minister for Skills and Training</t>
  </si>
  <si>
    <t>Safe Work Australia</t>
  </si>
  <si>
    <t>Safety, Rehabilitation and Compensation Commission</t>
  </si>
  <si>
    <t>Seafarers Safety, Rehabilitation and Compensation (Seacare) Authority</t>
  </si>
  <si>
    <t>Finance</t>
  </si>
  <si>
    <t>Australian Electoral Commission</t>
  </si>
  <si>
    <t>Commonwealth Superannuation Corporation (previously ARIA)</t>
  </si>
  <si>
    <t>Department of Finance</t>
  </si>
  <si>
    <t>Digital Transformation Agency</t>
  </si>
  <si>
    <t>Future Fund Management Agency</t>
  </si>
  <si>
    <t>Independent Parliamentary Expenses Authority</t>
  </si>
  <si>
    <t>Minister for Finance</t>
  </si>
  <si>
    <t>Special Minister of State</t>
  </si>
  <si>
    <t>Foreign Affairs and Trade</t>
  </si>
  <si>
    <t>Assistant Minister for Foreign Affairs and Trade</t>
  </si>
  <si>
    <t>Assistant Minister for Pacific Island Affairs</t>
  </si>
  <si>
    <t>Assistant Minister for Tourism</t>
  </si>
  <si>
    <t>Australian Centre for International Agricultural Research</t>
  </si>
  <si>
    <t>Australian Trade and Investment Commission (Austrade)</t>
  </si>
  <si>
    <t>Department of Foreign Affairs and Trade</t>
  </si>
  <si>
    <t xml:space="preserve">Export Finance and Insurance Corporation </t>
  </si>
  <si>
    <t>Minister for Foreign Affairs</t>
  </si>
  <si>
    <t>Minister for International Development</t>
  </si>
  <si>
    <t>Minister for Pacific Island Affairs</t>
  </si>
  <si>
    <t>Minister for Trade and Tourism</t>
  </si>
  <si>
    <t>Tourism Australia</t>
  </si>
  <si>
    <t>Health, Disability and Ageing</t>
  </si>
  <si>
    <t>Advisory Committee on Biologicals</t>
  </si>
  <si>
    <t xml:space="preserve">Advisory Committee on Chemicals Scheduling </t>
  </si>
  <si>
    <t>Advisory Committee on Complementary Medicines</t>
  </si>
  <si>
    <t xml:space="preserve">Advisory Committee on Medical Devices </t>
  </si>
  <si>
    <t>Advisory Committee on Medicines</t>
  </si>
  <si>
    <t xml:space="preserve">Advisory Committee on Medicines Scheduling </t>
  </si>
  <si>
    <t>Advisory Committee on Vaccines</t>
  </si>
  <si>
    <t>Aged Care Quality and Safety Commission</t>
  </si>
  <si>
    <t>Assistant Minister for Health and Aged Care</t>
  </si>
  <si>
    <t>Assistant Minister for Indigenous Health</t>
  </si>
  <si>
    <t>Assistant Minister for Mental Health and Suicide Prevention</t>
  </si>
  <si>
    <t>Assistant Minister for Rural and Regional Health</t>
  </si>
  <si>
    <t>Australian Centre for Disease Control</t>
  </si>
  <si>
    <t>Australian Commission on Safety and Quality in Health Care</t>
  </si>
  <si>
    <t>Australian Community Pharmacy Authority</t>
  </si>
  <si>
    <t>Australian Digital Health Agency</t>
  </si>
  <si>
    <t>Australian Industrial Chemicals Introduction Scheme</t>
  </si>
  <si>
    <t>Australian Institute of Health and Welfare</t>
  </si>
  <si>
    <t>Australian Radiation Protection and Nuclear Safety Agency</t>
  </si>
  <si>
    <t>Cancer Australia</t>
  </si>
  <si>
    <t>Department of Health, Disability and Ageing</t>
  </si>
  <si>
    <t>Food Standards Australia New Zealand</t>
  </si>
  <si>
    <t>Gene Technology Regulator</t>
  </si>
  <si>
    <t>Independent Health and Aged Care Pricing Authority</t>
  </si>
  <si>
    <t>Independent Review PBS Cost Recovery Committee</t>
  </si>
  <si>
    <t>Minister for Aged Care and Seniors</t>
  </si>
  <si>
    <t>Minister for Disability and the National Disability Insurance Scheme</t>
  </si>
  <si>
    <t>Minister for Health and Ageing</t>
  </si>
  <si>
    <t>Minister for the National Disability Insurance Scheme</t>
  </si>
  <si>
    <t>National Blood Authority</t>
  </si>
  <si>
    <t>National Health and Medical Research Council</t>
  </si>
  <si>
    <t>National Health Funding Body</t>
  </si>
  <si>
    <t>Office of the Inspector-General Aged Care</t>
  </si>
  <si>
    <t>Organ and Tissue Authority</t>
  </si>
  <si>
    <t>Pharmaceutical Benefits Advisory Committee</t>
  </si>
  <si>
    <t>Pharmaceutical Benefits Remuneration Tribunal</t>
  </si>
  <si>
    <t>Professional Services Review</t>
  </si>
  <si>
    <t>Home Affairs</t>
  </si>
  <si>
    <t>Assistant Minister for Citizenship, Customs and Multicultural Affairs</t>
  </si>
  <si>
    <t>Assistant Minister for Emergency Management</t>
  </si>
  <si>
    <t>Assistant Minister for Immigration</t>
  </si>
  <si>
    <t>Australian Criminal Intelligence Commission</t>
  </si>
  <si>
    <t>Australian Federal Police</t>
  </si>
  <si>
    <t>Australian Institute of Criminology</t>
  </si>
  <si>
    <t>Australian Transaction Reports and Analysis Centre (AUSTRAC)</t>
  </si>
  <si>
    <t>Department of Home Affairs</t>
  </si>
  <si>
    <t>Minister for Cyber Security</t>
  </si>
  <si>
    <t>Minister for Emergency Management</t>
  </si>
  <si>
    <t>Minister for Home Affairs</t>
  </si>
  <si>
    <t>Minister for Immigration and Citizenship</t>
  </si>
  <si>
    <t>Minister for Multicultural Affairs</t>
  </si>
  <si>
    <t>National Emergency Management Agency</t>
  </si>
  <si>
    <t>Industry, Science and Resources</t>
  </si>
  <si>
    <t>Assistant Minister for Resources</t>
  </si>
  <si>
    <t>Assistant Minister for Science, Technology and the Digital Economy</t>
  </si>
  <si>
    <t>Australian Nuclear Science and Technology Organisation</t>
  </si>
  <si>
    <t>Commonwealth Scientific and Industrial Research Organisation (CSIRO)</t>
  </si>
  <si>
    <t>Department of Industry, Science and Resources</t>
  </si>
  <si>
    <t>Geoscience Australia</t>
  </si>
  <si>
    <t>IP Australia</t>
  </si>
  <si>
    <t>Minister for Industry and Innovation</t>
  </si>
  <si>
    <t>Minister for Resources</t>
  </si>
  <si>
    <t>Minister for Science</t>
  </si>
  <si>
    <t>National Offshore Petroleum Safety &amp; Environmental Management Auth.</t>
  </si>
  <si>
    <t>National Reconstruction Fund Corporation</t>
  </si>
  <si>
    <t>Trans-Tasman IP Attorneys Board</t>
  </si>
  <si>
    <t xml:space="preserve">Trans-Tasman IP Attorneys Disciplinary Tribunal </t>
  </si>
  <si>
    <t>Infrastructure, Transport, Regional Development, Communications, Sport and the Arts</t>
  </si>
  <si>
    <t>Airservices Australia</t>
  </si>
  <si>
    <t>Assistant Minister for Northern Australia</t>
  </si>
  <si>
    <t>Assistant Minister for Regional Development</t>
  </si>
  <si>
    <t>Australian Broadcasting Corporation</t>
  </si>
  <si>
    <t>Australian Communications and Media Authority</t>
  </si>
  <si>
    <t>Australian Film, Television and Radio School</t>
  </si>
  <si>
    <t>Australian Maritime Safety Authority</t>
  </si>
  <si>
    <t>Australian National Maritime Museum</t>
  </si>
  <si>
    <t>Australian Postal Corporation</t>
  </si>
  <si>
    <t>Australian Sports Commission</t>
  </si>
  <si>
    <t>Australian Transport Safety Bureau</t>
  </si>
  <si>
    <t>Civil Aviation Safety Authority</t>
  </si>
  <si>
    <t>Classification Board</t>
  </si>
  <si>
    <t>Classification Review Board</t>
  </si>
  <si>
    <t>Creative Australia</t>
  </si>
  <si>
    <t>Department of Infrastructure, Transport, Regional Development, Communications, Sport and the Arts</t>
  </si>
  <si>
    <t>Film Certification Advisory Board</t>
  </si>
  <si>
    <t xml:space="preserve">High Speed Rail Authority </t>
  </si>
  <si>
    <t>Infrastructure Australia</t>
  </si>
  <si>
    <t>International Air Services Commission</t>
  </si>
  <si>
    <t>Minister for Communications</t>
  </si>
  <si>
    <t>Minister for Infrastructure, Transport, Regional Development and Local Government</t>
  </si>
  <si>
    <t>Minister for Northern Australia</t>
  </si>
  <si>
    <t>Minister for Regional Development, Local Government and Territories</t>
  </si>
  <si>
    <t>Minister for Sport</t>
  </si>
  <si>
    <t>Minister for the Arts</t>
  </si>
  <si>
    <t>Museum of Australian Democracy</t>
  </si>
  <si>
    <t>National Archives of Australia</t>
  </si>
  <si>
    <t>National Capital Authority</t>
  </si>
  <si>
    <t>National Film and Sound Archive of Australia</t>
  </si>
  <si>
    <t>National Gallery of Australia</t>
  </si>
  <si>
    <t>National Library of Australia</t>
  </si>
  <si>
    <t>National Museum of Australia</t>
  </si>
  <si>
    <t>National Portrait Gallery of Australia</t>
  </si>
  <si>
    <t>National Transport Commission</t>
  </si>
  <si>
    <t>NBN Co Limited (ACN 136 533 741)</t>
  </si>
  <si>
    <t>Northern Australian Infrastructure Facility</t>
  </si>
  <si>
    <t>Office of the eSafety Commissioner</t>
  </si>
  <si>
    <t>Public Lending Right Committee</t>
  </si>
  <si>
    <t>Screen Australia</t>
  </si>
  <si>
    <t>Special Broadcasting Service Corporation</t>
  </si>
  <si>
    <t>Sport Integrity Australia</t>
  </si>
  <si>
    <t>Prime Minister and Cabinet</t>
  </si>
  <si>
    <t>Aboriginal Hostels Limited</t>
  </si>
  <si>
    <t>Assistant Minister for the Public Service</t>
  </si>
  <si>
    <t>Assistant Minister for Women</t>
  </si>
  <si>
    <t>Assistant Minister to the Prime Minister</t>
  </si>
  <si>
    <t>Australian Institute of Aboriginal and Torres Strait Islander Studies</t>
  </si>
  <si>
    <t>Australian Public Service Commission</t>
  </si>
  <si>
    <t>Cabinet Secretary</t>
  </si>
  <si>
    <t>Defence Force Remuneration Tribunal</t>
  </si>
  <si>
    <t>Department of the Prime Minister and Cabinet</t>
  </si>
  <si>
    <t>Executive Director of Township Leasing</t>
  </si>
  <si>
    <t>Indigenous Business Australia</t>
  </si>
  <si>
    <t>Indigenous Land and Sea Corporation</t>
  </si>
  <si>
    <t>Merit Protection Commissioner</t>
  </si>
  <si>
    <t>Minister for Indigenous Australians</t>
  </si>
  <si>
    <t>Minister for the Public Service</t>
  </si>
  <si>
    <t>Minister for Women</t>
  </si>
  <si>
    <t>National Indigenous Australians Agency</t>
  </si>
  <si>
    <t>Net Zero Economy Authority</t>
  </si>
  <si>
    <t>Northern Territory Aboriginal Investment Corporation</t>
  </si>
  <si>
    <t>Office of the Official Secretary to the Governor-General</t>
  </si>
  <si>
    <t>Office of the Registrar of Indigenous Corporations</t>
  </si>
  <si>
    <t>Prime Minister</t>
  </si>
  <si>
    <t>Remuneration Tribunal</t>
  </si>
  <si>
    <t>Torres Strait Regional Authority</t>
  </si>
  <si>
    <t>Workplace Gender Equality Agency</t>
  </si>
  <si>
    <t xml:space="preserve">Wreck Bay Aboriginal Community Council </t>
  </si>
  <si>
    <t>Social Services</t>
  </si>
  <si>
    <t>Assistant Minister for Social Services</t>
  </si>
  <si>
    <t>Assistant Minister for the Prevention of Family Violence</t>
  </si>
  <si>
    <t>Australian Institute of Family Studies</t>
  </si>
  <si>
    <t>Department of Social Services</t>
  </si>
  <si>
    <t>Domestic Family and Sexual Violence Commission</t>
  </si>
  <si>
    <t>Hearing Australia</t>
  </si>
  <si>
    <t>Minister for Government Services</t>
  </si>
  <si>
    <t>Minister for Social Services</t>
  </si>
  <si>
    <t>National Commission for Aboriginal and Torres Strait Islander Children and Young People</t>
  </si>
  <si>
    <t>National Disability Insurance Agency</t>
  </si>
  <si>
    <t>NDIS Quality and Safeguards Commission</t>
  </si>
  <si>
    <t>Services Australia</t>
  </si>
  <si>
    <t>Treasury</t>
  </si>
  <si>
    <t>Assistant Minister for Productivity, Competition, Charities and Treasury</t>
  </si>
  <si>
    <t>Assistant Treasurer</t>
  </si>
  <si>
    <t>Auditing and Assurance Standards Board</t>
  </si>
  <si>
    <t>Australian Accounting Standards Board</t>
  </si>
  <si>
    <t>Australian Bureau of Statistics</t>
  </si>
  <si>
    <t>Australian Charities and Not-for-Profits Commission</t>
  </si>
  <si>
    <t>Australian Competition and Consumer Commission</t>
  </si>
  <si>
    <t>Australian Competition Tribunal</t>
  </si>
  <si>
    <t>Australian Energy Regulator</t>
  </si>
  <si>
    <t>Australian Financial Security Authority</t>
  </si>
  <si>
    <t>Australian Office of Financial Management</t>
  </si>
  <si>
    <t>Australian Prudential Regulation Authority</t>
  </si>
  <si>
    <t>Australian Reinsurance Pool Corporation</t>
  </si>
  <si>
    <t>Australian Securities and Investments Commission</t>
  </si>
  <si>
    <t>Australian Taxation Office</t>
  </si>
  <si>
    <t>Commonwealth Grants Commission</t>
  </si>
  <si>
    <t>Companies Auditors Disciplinary Board</t>
  </si>
  <si>
    <t>Department of the Treasury</t>
  </si>
  <si>
    <t>Financial Reporting Council</t>
  </si>
  <si>
    <t>Housing Australia</t>
  </si>
  <si>
    <t>Inspector-General of Taxation</t>
  </si>
  <si>
    <t>Minister for Cities</t>
  </si>
  <si>
    <t>Minister for Financial Services</t>
  </si>
  <si>
    <t>Minister for Homelessness</t>
  </si>
  <si>
    <t>Minister for Housing</t>
  </si>
  <si>
    <t>Minister for Small Business</t>
  </si>
  <si>
    <t>National Competition Council</t>
  </si>
  <si>
    <t>Productivity Commission</t>
  </si>
  <si>
    <t>Reserve Bank of Australia</t>
  </si>
  <si>
    <t>Takeovers Panel</t>
  </si>
  <si>
    <t>Tax Practitioners Board</t>
  </si>
  <si>
    <t>Treasurer</t>
  </si>
  <si>
    <t>x Norfolk Island (external territory)</t>
  </si>
  <si>
    <t>Norfolk Island Health and Residential Aged Care Service</t>
  </si>
  <si>
    <t xml:space="preserve">Norfolk Island Regional Council </t>
  </si>
  <si>
    <t>xx changes</t>
  </si>
  <si>
    <t>x FOIstats Administrator (must be left active)</t>
  </si>
  <si>
    <t>Total</t>
  </si>
  <si>
    <t>Granted in Full</t>
  </si>
  <si>
    <t>Granted in Part</t>
  </si>
  <si>
    <t>Access refused</t>
  </si>
  <si>
    <t>Transferred</t>
  </si>
  <si>
    <t>Withdrawn</t>
  </si>
  <si>
    <t>Total determined</t>
  </si>
  <si>
    <t>%</t>
  </si>
  <si>
    <t>Requests determined</t>
  </si>
  <si>
    <t>Response time within statutory time period</t>
  </si>
  <si>
    <t>Response time up to 30 days after statutory period</t>
  </si>
  <si>
    <t>Response time 31 - 60 days after statutory period</t>
  </si>
  <si>
    <t>Response time 61 - 90 days after statutory period</t>
  </si>
  <si>
    <t>Response time over 90 days after statutory period</t>
  </si>
  <si>
    <t>Request received – top 20 agencies</t>
  </si>
  <si>
    <t>Personal</t>
  </si>
  <si>
    <t>Other</t>
  </si>
  <si>
    <t>Top 20</t>
  </si>
  <si>
    <t>Remaining agencies</t>
  </si>
  <si>
    <t>Tab</t>
  </si>
  <si>
    <t>Description</t>
  </si>
  <si>
    <t>Request numbers</t>
  </si>
  <si>
    <t xml:space="preserve">Number of FOI requests on hand and received </t>
  </si>
  <si>
    <t>Action on requests</t>
  </si>
  <si>
    <t>Number of FOI requests granted in full, granted in part, refused, withdrawn, transferred and the total determined</t>
  </si>
  <si>
    <t>Response times</t>
  </si>
  <si>
    <t>Number of FOI requests decided within the statutory timeframe and the number decided outside the statutory timeframe</t>
  </si>
  <si>
    <t>Requests top 20</t>
  </si>
  <si>
    <t>Top 20 agencies by FOI requests received</t>
  </si>
  <si>
    <t>Determined top 20</t>
  </si>
  <si>
    <t>Top 20 agencies by FOI requests determined</t>
  </si>
  <si>
    <t>On hand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</si>
</sst>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94DC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justify" readingOrder="1"/>
    </xf>
    <xf numFmtId="0" fontId="0" fillId="4" borderId="0" xfId="0" applyFill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 readingOrder="1"/>
    </xf>
    <xf numFmtId="0" fontId="0" fillId="2" borderId="0" xfId="0" applyFill="1" applyAlignment="1">
      <alignment wrapText="1" readingOrder="1"/>
    </xf>
    <xf numFmtId="0" fontId="0" fillId="2" borderId="0" xfId="0" applyFill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0" fillId="3" borderId="0" xfId="0" applyFill="1" applyAlignment="1">
      <alignment horizontal="left" readingOrder="1"/>
    </xf>
    <xf numFmtId="0" fontId="0" fillId="2" borderId="0" xfId="0" applyFill="1" applyAlignment="1">
      <alignment horizontal="justify" readingOrder="1"/>
    </xf>
    <xf numFmtId="0" fontId="0" fillId="2" borderId="0" xfId="0" applyFill="1" applyAlignment="1">
      <alignment horizontal="center" readingOrder="1"/>
    </xf>
    <xf numFmtId="0" fontId="0" fillId="2" borderId="0" xfId="0" applyFill="1" applyAlignment="1">
      <alignment horizontal="left" readingOrder="1"/>
    </xf>
    <xf numFmtId="0" fontId="0" fillId="2" borderId="0" xfId="0" applyFill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B04C-167B-497A-95CC-ABC3D5002CA1}">
  <dimension ref="A1:B6"/>
  <sheetViews>
    <sheetView tabSelected="1" zoomScaleNormal="100" workbookViewId="0">
      <selection activeCell="A12" sqref="A12"/>
    </sheetView>
  </sheetViews>
  <sheetFormatPr defaultRowHeight="15" x14ac:dyDescent="0.25"/>
  <cols>
    <col min="1" max="1" width="31.7109375" bestFit="1" customWidth="1"/>
    <col min="2" max="2" width="183.42578125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t="s">
        <v>345</v>
      </c>
      <c r="B2" t="s">
        <v>346</v>
      </c>
    </row>
    <row r="3" spans="1:2" x14ac:dyDescent="0.25">
      <c r="A3" t="s">
        <v>347</v>
      </c>
      <c r="B3" t="s">
        <v>348</v>
      </c>
    </row>
    <row r="4" spans="1:2" x14ac:dyDescent="0.25">
      <c r="A4" t="s">
        <v>349</v>
      </c>
      <c r="B4" t="s">
        <v>350</v>
      </c>
    </row>
    <row r="5" spans="1:2" x14ac:dyDescent="0.25">
      <c r="A5" t="s">
        <v>351</v>
      </c>
      <c r="B5" t="s">
        <v>352</v>
      </c>
    </row>
    <row r="6" spans="1:2" x14ac:dyDescent="0.25">
      <c r="A6" t="s">
        <v>353</v>
      </c>
      <c r="B6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6"/>
  <sheetViews>
    <sheetView workbookViewId="0">
      <pane ySplit="2" topLeftCell="A3" activePane="bottomLeft" state="frozen"/>
      <selection pane="bottomLeft" activeCell="B17" sqref="B17"/>
    </sheetView>
  </sheetViews>
  <sheetFormatPr defaultRowHeight="15" x14ac:dyDescent="0.25"/>
  <cols>
    <col min="1" max="1" width="50" customWidth="1"/>
  </cols>
  <sheetData>
    <row r="1" spans="1:22" ht="28.9" customHeight="1" x14ac:dyDescent="0.25">
      <c r="A1" s="5" t="s">
        <v>0</v>
      </c>
      <c r="B1" s="6" t="s">
        <v>1</v>
      </c>
      <c r="C1" s="6"/>
      <c r="D1" s="6"/>
      <c r="E1" s="6" t="s">
        <v>2</v>
      </c>
      <c r="F1" s="6" t="s">
        <v>2</v>
      </c>
      <c r="G1" s="6" t="s">
        <v>2</v>
      </c>
      <c r="H1" s="6" t="s">
        <v>3</v>
      </c>
      <c r="I1" s="6" t="s">
        <v>3</v>
      </c>
      <c r="J1" s="6" t="s">
        <v>3</v>
      </c>
      <c r="K1" s="6" t="s">
        <v>4</v>
      </c>
      <c r="L1" s="6" t="s">
        <v>4</v>
      </c>
      <c r="M1" s="6" t="s">
        <v>4</v>
      </c>
      <c r="N1" s="6" t="s">
        <v>5</v>
      </c>
      <c r="O1" s="6" t="s">
        <v>5</v>
      </c>
      <c r="P1" s="6" t="s">
        <v>5</v>
      </c>
      <c r="Q1" s="6" t="s">
        <v>6</v>
      </c>
      <c r="R1" s="6" t="s">
        <v>6</v>
      </c>
      <c r="S1" s="6" t="s">
        <v>6</v>
      </c>
      <c r="T1" s="7" t="s">
        <v>355</v>
      </c>
      <c r="U1" s="6" t="s">
        <v>7</v>
      </c>
      <c r="V1" s="6" t="s">
        <v>7</v>
      </c>
    </row>
    <row r="2" spans="1:22" x14ac:dyDescent="0.25">
      <c r="B2" s="3" t="s">
        <v>339</v>
      </c>
      <c r="C2" s="3" t="s">
        <v>340</v>
      </c>
      <c r="D2" s="3" t="s">
        <v>324</v>
      </c>
      <c r="E2" s="3" t="s">
        <v>339</v>
      </c>
      <c r="F2" s="3" t="s">
        <v>340</v>
      </c>
      <c r="G2" s="3" t="s">
        <v>324</v>
      </c>
      <c r="H2" s="3" t="s">
        <v>339</v>
      </c>
      <c r="I2" s="3" t="s">
        <v>340</v>
      </c>
      <c r="J2" s="3" t="s">
        <v>324</v>
      </c>
      <c r="K2" s="3" t="s">
        <v>339</v>
      </c>
      <c r="L2" s="3" t="s">
        <v>340</v>
      </c>
      <c r="M2" s="3" t="s">
        <v>324</v>
      </c>
      <c r="N2" s="3" t="s">
        <v>339</v>
      </c>
      <c r="O2" s="3" t="s">
        <v>340</v>
      </c>
      <c r="P2" s="3" t="s">
        <v>324</v>
      </c>
      <c r="Q2" s="3" t="s">
        <v>339</v>
      </c>
      <c r="R2" s="3" t="s">
        <v>340</v>
      </c>
      <c r="S2" s="3" t="s">
        <v>324</v>
      </c>
      <c r="T2" s="3" t="s">
        <v>339</v>
      </c>
      <c r="U2" s="3" t="s">
        <v>340</v>
      </c>
      <c r="V2" s="3" t="s">
        <v>324</v>
      </c>
    </row>
    <row r="3" spans="1:22" x14ac:dyDescent="0.25">
      <c r="A3" s="8" t="s">
        <v>8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 t="s">
        <v>8</v>
      </c>
      <c r="S3" s="8" t="s">
        <v>8</v>
      </c>
      <c r="T3" s="8" t="s">
        <v>8</v>
      </c>
      <c r="U3" s="8" t="s">
        <v>8</v>
      </c>
      <c r="V3" s="8" t="s">
        <v>8</v>
      </c>
    </row>
    <row r="4" spans="1:22" x14ac:dyDescent="0.25">
      <c r="A4" t="s">
        <v>9</v>
      </c>
      <c r="B4">
        <v>0</v>
      </c>
      <c r="C4">
        <v>0</v>
      </c>
      <c r="D4">
        <f t="shared" ref="D4:D14" si="0">B4+C4</f>
        <v>0</v>
      </c>
      <c r="E4">
        <v>0</v>
      </c>
      <c r="F4">
        <v>1</v>
      </c>
      <c r="G4">
        <f t="shared" ref="G4:G14" si="1">E4+F4</f>
        <v>1</v>
      </c>
      <c r="H4">
        <v>0</v>
      </c>
      <c r="I4">
        <v>0</v>
      </c>
      <c r="J4">
        <f t="shared" ref="J4:J14" si="2">H4+I4</f>
        <v>0</v>
      </c>
      <c r="K4">
        <f t="shared" ref="K4:K14" si="3">E4 + H4</f>
        <v>0</v>
      </c>
      <c r="L4">
        <f t="shared" ref="L4:L14" si="4">F4 + I4</f>
        <v>1</v>
      </c>
      <c r="M4">
        <f t="shared" ref="M4:M14" si="5">K4 + L4</f>
        <v>1</v>
      </c>
      <c r="N4">
        <f>IF(K336&gt;0,ROUND((K4/K336) * 100, 4), "")</f>
        <v>0</v>
      </c>
      <c r="O4">
        <f>IF(L336&gt;0,ROUND((L4/L336) * 100, 4), "")</f>
        <v>1.11E-2</v>
      </c>
      <c r="P4">
        <f>IF(M336&gt;0,ROUND((M4/M336) * 100, 4), "")</f>
        <v>2.8999999999999998E-3</v>
      </c>
      <c r="Q4">
        <v>0</v>
      </c>
      <c r="R4">
        <v>0</v>
      </c>
      <c r="S4">
        <f t="shared" ref="S4:S14" si="6">Q4 + R4</f>
        <v>0</v>
      </c>
      <c r="T4">
        <f t="shared" ref="T4:T14" si="7">B4 + K4 - Q4</f>
        <v>0</v>
      </c>
      <c r="U4">
        <f t="shared" ref="U4:U14" si="8">C4 + L4 - R4</f>
        <v>1</v>
      </c>
      <c r="V4">
        <f t="shared" ref="V4:V14" si="9">T4 + U4</f>
        <v>1</v>
      </c>
    </row>
    <row r="5" spans="1:22" x14ac:dyDescent="0.25">
      <c r="A5" t="s">
        <v>10</v>
      </c>
      <c r="B5">
        <v>0</v>
      </c>
      <c r="C5">
        <v>0</v>
      </c>
      <c r="D5">
        <f t="shared" si="0"/>
        <v>0</v>
      </c>
      <c r="E5">
        <v>0</v>
      </c>
      <c r="F5">
        <v>0</v>
      </c>
      <c r="G5">
        <f t="shared" si="1"/>
        <v>0</v>
      </c>
      <c r="H5">
        <v>0</v>
      </c>
      <c r="I5"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  <c r="N5">
        <f>IF(K336&gt;0,ROUND((K5/K336) * 100, 4), "")</f>
        <v>0</v>
      </c>
      <c r="O5">
        <f>IF(L336&gt;0,ROUND((L5/L336) * 100, 4), "")</f>
        <v>0</v>
      </c>
      <c r="P5">
        <f>IF(M336&gt;0,ROUND((M5/M336) * 100, 4), "")</f>
        <v>0</v>
      </c>
      <c r="Q5">
        <v>0</v>
      </c>
      <c r="R5">
        <v>0</v>
      </c>
      <c r="S5">
        <f t="shared" si="6"/>
        <v>0</v>
      </c>
      <c r="T5">
        <f t="shared" si="7"/>
        <v>0</v>
      </c>
      <c r="U5">
        <f t="shared" si="8"/>
        <v>0</v>
      </c>
      <c r="V5">
        <f t="shared" si="9"/>
        <v>0</v>
      </c>
    </row>
    <row r="6" spans="1:22" x14ac:dyDescent="0.25">
      <c r="A6" t="s">
        <v>11</v>
      </c>
      <c r="B6">
        <v>0</v>
      </c>
      <c r="C6">
        <v>0</v>
      </c>
      <c r="D6">
        <f t="shared" si="0"/>
        <v>0</v>
      </c>
      <c r="E6">
        <v>0</v>
      </c>
      <c r="F6">
        <v>4</v>
      </c>
      <c r="G6">
        <f t="shared" si="1"/>
        <v>4</v>
      </c>
      <c r="H6">
        <v>0</v>
      </c>
      <c r="I6">
        <v>0</v>
      </c>
      <c r="J6">
        <f t="shared" si="2"/>
        <v>0</v>
      </c>
      <c r="K6">
        <f t="shared" si="3"/>
        <v>0</v>
      </c>
      <c r="L6">
        <f t="shared" si="4"/>
        <v>4</v>
      </c>
      <c r="M6">
        <f t="shared" si="5"/>
        <v>4</v>
      </c>
      <c r="N6">
        <f>IF(K336&gt;0,ROUND((K6/K336) * 100, 4), "")</f>
        <v>0</v>
      </c>
      <c r="O6">
        <f>IF(L336&gt;0,ROUND((L6/L336) * 100, 4), "")</f>
        <v>4.4200000000000003E-2</v>
      </c>
      <c r="P6">
        <f>IF(M336&gt;0,ROUND((M6/M336) * 100, 4), "")</f>
        <v>1.15E-2</v>
      </c>
      <c r="Q6">
        <v>0</v>
      </c>
      <c r="R6">
        <v>3</v>
      </c>
      <c r="S6">
        <f t="shared" si="6"/>
        <v>3</v>
      </c>
      <c r="T6">
        <f t="shared" si="7"/>
        <v>0</v>
      </c>
      <c r="U6">
        <f t="shared" si="8"/>
        <v>1</v>
      </c>
      <c r="V6">
        <f t="shared" si="9"/>
        <v>1</v>
      </c>
    </row>
    <row r="7" spans="1:22" x14ac:dyDescent="0.25">
      <c r="A7" t="s">
        <v>12</v>
      </c>
      <c r="B7">
        <v>0</v>
      </c>
      <c r="C7">
        <v>3</v>
      </c>
      <c r="D7">
        <f t="shared" si="0"/>
        <v>3</v>
      </c>
      <c r="E7">
        <v>0</v>
      </c>
      <c r="F7">
        <v>23</v>
      </c>
      <c r="G7">
        <f t="shared" si="1"/>
        <v>23</v>
      </c>
      <c r="H7">
        <v>0</v>
      </c>
      <c r="I7">
        <v>0</v>
      </c>
      <c r="J7">
        <f t="shared" si="2"/>
        <v>0</v>
      </c>
      <c r="K7">
        <f t="shared" si="3"/>
        <v>0</v>
      </c>
      <c r="L7">
        <f t="shared" si="4"/>
        <v>23</v>
      </c>
      <c r="M7">
        <f t="shared" si="5"/>
        <v>23</v>
      </c>
      <c r="N7">
        <f>IF(K336&gt;0,ROUND((K7/K336) * 100, 4), "")</f>
        <v>0</v>
      </c>
      <c r="O7">
        <f>IF(L336&gt;0,ROUND((L7/L336) * 100, 4), "")</f>
        <v>0.25440000000000002</v>
      </c>
      <c r="P7">
        <f>IF(M336&gt;0,ROUND((M7/M336) * 100, 4), "")</f>
        <v>6.6100000000000006E-2</v>
      </c>
      <c r="Q7">
        <v>0</v>
      </c>
      <c r="R7">
        <v>23</v>
      </c>
      <c r="S7">
        <f t="shared" si="6"/>
        <v>23</v>
      </c>
      <c r="T7">
        <f t="shared" si="7"/>
        <v>0</v>
      </c>
      <c r="U7">
        <f t="shared" si="8"/>
        <v>3</v>
      </c>
      <c r="V7">
        <f t="shared" si="9"/>
        <v>3</v>
      </c>
    </row>
    <row r="8" spans="1:22" x14ac:dyDescent="0.25">
      <c r="A8" t="s">
        <v>13</v>
      </c>
      <c r="B8">
        <v>0</v>
      </c>
      <c r="C8">
        <v>0</v>
      </c>
      <c r="D8">
        <f t="shared" si="0"/>
        <v>0</v>
      </c>
      <c r="E8">
        <v>0</v>
      </c>
      <c r="F8">
        <v>1</v>
      </c>
      <c r="G8">
        <f t="shared" si="1"/>
        <v>1</v>
      </c>
      <c r="H8">
        <v>0</v>
      </c>
      <c r="I8">
        <v>0</v>
      </c>
      <c r="J8">
        <f t="shared" si="2"/>
        <v>0</v>
      </c>
      <c r="K8">
        <f t="shared" si="3"/>
        <v>0</v>
      </c>
      <c r="L8">
        <f t="shared" si="4"/>
        <v>1</v>
      </c>
      <c r="M8">
        <f t="shared" si="5"/>
        <v>1</v>
      </c>
      <c r="N8">
        <f>IF(K336&gt;0,ROUND((K8/K336) * 100, 4), "")</f>
        <v>0</v>
      </c>
      <c r="O8">
        <f>IF(L336&gt;0,ROUND((L8/L336) * 100, 4), "")</f>
        <v>1.11E-2</v>
      </c>
      <c r="P8">
        <f>IF(M336&gt;0,ROUND((M8/M336) * 100, 4), "")</f>
        <v>2.8999999999999998E-3</v>
      </c>
      <c r="Q8">
        <v>0</v>
      </c>
      <c r="R8">
        <v>1</v>
      </c>
      <c r="S8">
        <f t="shared" si="6"/>
        <v>1</v>
      </c>
      <c r="T8">
        <f t="shared" si="7"/>
        <v>0</v>
      </c>
      <c r="U8">
        <f t="shared" si="8"/>
        <v>0</v>
      </c>
      <c r="V8">
        <f t="shared" si="9"/>
        <v>0</v>
      </c>
    </row>
    <row r="9" spans="1:22" x14ac:dyDescent="0.25">
      <c r="A9" t="s">
        <v>14</v>
      </c>
      <c r="B9">
        <v>1</v>
      </c>
      <c r="C9">
        <v>10</v>
      </c>
      <c r="D9">
        <f t="shared" si="0"/>
        <v>11</v>
      </c>
      <c r="E9">
        <v>13</v>
      </c>
      <c r="F9">
        <v>65</v>
      </c>
      <c r="G9">
        <f t="shared" si="1"/>
        <v>78</v>
      </c>
      <c r="H9">
        <v>0</v>
      </c>
      <c r="I9">
        <v>1</v>
      </c>
      <c r="J9">
        <f t="shared" si="2"/>
        <v>1</v>
      </c>
      <c r="K9">
        <f t="shared" si="3"/>
        <v>13</v>
      </c>
      <c r="L9">
        <f t="shared" si="4"/>
        <v>66</v>
      </c>
      <c r="M9">
        <f t="shared" si="5"/>
        <v>79</v>
      </c>
      <c r="N9">
        <f>IF(K336&gt;0,ROUND((K9/K336) * 100, 4), "")</f>
        <v>5.0500000000000003E-2</v>
      </c>
      <c r="O9">
        <f>IF(L336&gt;0,ROUND((L9/L336) * 100, 4), "")</f>
        <v>0.72989999999999999</v>
      </c>
      <c r="P9">
        <f>IF(M336&gt;0,ROUND((M9/M336) * 100, 4), "")</f>
        <v>0.22689999999999999</v>
      </c>
      <c r="Q9">
        <v>14</v>
      </c>
      <c r="R9">
        <v>59</v>
      </c>
      <c r="S9">
        <f t="shared" si="6"/>
        <v>73</v>
      </c>
      <c r="T9">
        <f t="shared" si="7"/>
        <v>0</v>
      </c>
      <c r="U9">
        <f t="shared" si="8"/>
        <v>17</v>
      </c>
      <c r="V9">
        <f t="shared" si="9"/>
        <v>17</v>
      </c>
    </row>
    <row r="10" spans="1:22" x14ac:dyDescent="0.25">
      <c r="A10" t="s">
        <v>15</v>
      </c>
      <c r="B10">
        <v>0</v>
      </c>
      <c r="C10">
        <v>0</v>
      </c>
      <c r="D10">
        <f t="shared" si="0"/>
        <v>0</v>
      </c>
      <c r="E10">
        <v>0</v>
      </c>
      <c r="F10">
        <v>2</v>
      </c>
      <c r="G10">
        <f t="shared" si="1"/>
        <v>2</v>
      </c>
      <c r="H10">
        <v>0</v>
      </c>
      <c r="I10">
        <v>0</v>
      </c>
      <c r="J10">
        <f t="shared" si="2"/>
        <v>0</v>
      </c>
      <c r="K10">
        <f t="shared" si="3"/>
        <v>0</v>
      </c>
      <c r="L10">
        <f t="shared" si="4"/>
        <v>2</v>
      </c>
      <c r="M10">
        <f t="shared" si="5"/>
        <v>2</v>
      </c>
      <c r="N10">
        <f>IF(K336&gt;0,ROUND((K10/K336) * 100, 4), "")</f>
        <v>0</v>
      </c>
      <c r="O10">
        <f>IF(L336&gt;0,ROUND((L10/L336) * 100, 4), "")</f>
        <v>2.2100000000000002E-2</v>
      </c>
      <c r="P10">
        <f>IF(M336&gt;0,ROUND((M10/M336) * 100, 4), "")</f>
        <v>5.7000000000000002E-3</v>
      </c>
      <c r="Q10">
        <v>0</v>
      </c>
      <c r="R10">
        <v>2</v>
      </c>
      <c r="S10">
        <f t="shared" si="6"/>
        <v>2</v>
      </c>
      <c r="T10">
        <f t="shared" si="7"/>
        <v>0</v>
      </c>
      <c r="U10">
        <f t="shared" si="8"/>
        <v>0</v>
      </c>
      <c r="V10">
        <f t="shared" si="9"/>
        <v>0</v>
      </c>
    </row>
    <row r="11" spans="1:22" x14ac:dyDescent="0.25">
      <c r="A11" t="s">
        <v>16</v>
      </c>
      <c r="B11">
        <v>0</v>
      </c>
      <c r="C11">
        <v>0</v>
      </c>
      <c r="D11">
        <f t="shared" si="0"/>
        <v>0</v>
      </c>
      <c r="E11">
        <v>1</v>
      </c>
      <c r="F11">
        <v>3</v>
      </c>
      <c r="G11">
        <f t="shared" si="1"/>
        <v>4</v>
      </c>
      <c r="H11">
        <v>0</v>
      </c>
      <c r="I11">
        <v>0</v>
      </c>
      <c r="J11">
        <f t="shared" si="2"/>
        <v>0</v>
      </c>
      <c r="K11">
        <f t="shared" si="3"/>
        <v>1</v>
      </c>
      <c r="L11">
        <f t="shared" si="4"/>
        <v>3</v>
      </c>
      <c r="M11">
        <f t="shared" si="5"/>
        <v>4</v>
      </c>
      <c r="N11">
        <f>IF(K336&gt;0,ROUND((K11/K336) * 100, 4), "")</f>
        <v>3.8999999999999998E-3</v>
      </c>
      <c r="O11">
        <f>IF(L336&gt;0,ROUND((L11/L336) * 100, 4), "")</f>
        <v>3.32E-2</v>
      </c>
      <c r="P11">
        <f>IF(M336&gt;0,ROUND((M11/M336) * 100, 4), "")</f>
        <v>1.15E-2</v>
      </c>
      <c r="Q11">
        <v>1</v>
      </c>
      <c r="R11">
        <v>3</v>
      </c>
      <c r="S11">
        <f t="shared" si="6"/>
        <v>4</v>
      </c>
      <c r="T11">
        <f t="shared" si="7"/>
        <v>0</v>
      </c>
      <c r="U11">
        <f t="shared" si="8"/>
        <v>0</v>
      </c>
      <c r="V11">
        <f t="shared" si="9"/>
        <v>0</v>
      </c>
    </row>
    <row r="12" spans="1:22" x14ac:dyDescent="0.25">
      <c r="A12" t="s">
        <v>17</v>
      </c>
      <c r="B12">
        <v>0</v>
      </c>
      <c r="C12">
        <v>0</v>
      </c>
      <c r="D12">
        <f t="shared" si="0"/>
        <v>0</v>
      </c>
      <c r="E12">
        <v>0</v>
      </c>
      <c r="F12">
        <v>1</v>
      </c>
      <c r="G12">
        <f t="shared" si="1"/>
        <v>1</v>
      </c>
      <c r="H12">
        <v>0</v>
      </c>
      <c r="I12">
        <v>0</v>
      </c>
      <c r="J12">
        <f t="shared" si="2"/>
        <v>0</v>
      </c>
      <c r="K12">
        <f t="shared" si="3"/>
        <v>0</v>
      </c>
      <c r="L12">
        <f t="shared" si="4"/>
        <v>1</v>
      </c>
      <c r="M12">
        <f t="shared" si="5"/>
        <v>1</v>
      </c>
      <c r="N12">
        <f>IF(K336&gt;0,ROUND((K12/K336) * 100, 4), "")</f>
        <v>0</v>
      </c>
      <c r="O12">
        <f>IF(L336&gt;0,ROUND((L12/L336) * 100, 4), "")</f>
        <v>1.11E-2</v>
      </c>
      <c r="P12">
        <f>IF(M336&gt;0,ROUND((M12/M336) * 100, 4), "")</f>
        <v>2.8999999999999998E-3</v>
      </c>
      <c r="Q12">
        <v>0</v>
      </c>
      <c r="R12">
        <v>1</v>
      </c>
      <c r="S12">
        <f t="shared" si="6"/>
        <v>1</v>
      </c>
      <c r="T12">
        <f t="shared" si="7"/>
        <v>0</v>
      </c>
      <c r="U12">
        <f t="shared" si="8"/>
        <v>0</v>
      </c>
      <c r="V12">
        <f t="shared" si="9"/>
        <v>0</v>
      </c>
    </row>
    <row r="13" spans="1:22" x14ac:dyDescent="0.25">
      <c r="A13" t="s">
        <v>18</v>
      </c>
      <c r="B13">
        <v>0</v>
      </c>
      <c r="C13">
        <v>0</v>
      </c>
      <c r="D13">
        <f t="shared" si="0"/>
        <v>0</v>
      </c>
      <c r="E13">
        <v>0</v>
      </c>
      <c r="F13">
        <v>0</v>
      </c>
      <c r="G13">
        <f t="shared" si="1"/>
        <v>0</v>
      </c>
      <c r="H13">
        <v>0</v>
      </c>
      <c r="I13"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N13">
        <f>IF(K336&gt;0,ROUND((K13/K336) * 100, 4), "")</f>
        <v>0</v>
      </c>
      <c r="O13">
        <f>IF(L336&gt;0,ROUND((L13/L336) * 100, 4), "")</f>
        <v>0</v>
      </c>
      <c r="P13">
        <f>IF(M336&gt;0,ROUND((M13/M336) * 100, 4), "")</f>
        <v>0</v>
      </c>
      <c r="Q13">
        <v>0</v>
      </c>
      <c r="R13">
        <v>0</v>
      </c>
      <c r="S13">
        <f t="shared" si="6"/>
        <v>0</v>
      </c>
      <c r="T13">
        <f t="shared" si="7"/>
        <v>0</v>
      </c>
      <c r="U13">
        <f t="shared" si="8"/>
        <v>0</v>
      </c>
      <c r="V13">
        <f t="shared" si="9"/>
        <v>0</v>
      </c>
    </row>
    <row r="14" spans="1:22" x14ac:dyDescent="0.25">
      <c r="A14" t="s">
        <v>19</v>
      </c>
      <c r="B14">
        <v>0</v>
      </c>
      <c r="C14">
        <v>0</v>
      </c>
      <c r="D14">
        <f t="shared" si="0"/>
        <v>0</v>
      </c>
      <c r="E14">
        <v>0</v>
      </c>
      <c r="F14">
        <v>1</v>
      </c>
      <c r="G14">
        <f t="shared" si="1"/>
        <v>1</v>
      </c>
      <c r="H14">
        <v>0</v>
      </c>
      <c r="I14">
        <v>0</v>
      </c>
      <c r="J14">
        <f t="shared" si="2"/>
        <v>0</v>
      </c>
      <c r="K14">
        <f t="shared" si="3"/>
        <v>0</v>
      </c>
      <c r="L14">
        <f t="shared" si="4"/>
        <v>1</v>
      </c>
      <c r="M14">
        <f t="shared" si="5"/>
        <v>1</v>
      </c>
      <c r="N14">
        <f>IF(K336&gt;0,ROUND((K14/K336) * 100, 4), "")</f>
        <v>0</v>
      </c>
      <c r="O14">
        <f>IF(L336&gt;0,ROUND((L14/L336) * 100, 4), "")</f>
        <v>1.11E-2</v>
      </c>
      <c r="P14">
        <f>IF(M336&gt;0,ROUND((M14/M336) * 100, 4), "")</f>
        <v>2.8999999999999998E-3</v>
      </c>
      <c r="Q14">
        <v>0</v>
      </c>
      <c r="R14">
        <v>1</v>
      </c>
      <c r="S14">
        <f t="shared" si="6"/>
        <v>1</v>
      </c>
      <c r="T14">
        <f t="shared" si="7"/>
        <v>0</v>
      </c>
      <c r="U14">
        <f t="shared" si="8"/>
        <v>0</v>
      </c>
      <c r="V14">
        <f t="shared" si="9"/>
        <v>0</v>
      </c>
    </row>
    <row r="16" spans="1:22" x14ac:dyDescent="0.25">
      <c r="A16" s="8" t="s">
        <v>20</v>
      </c>
      <c r="B16" s="8" t="s">
        <v>20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  <c r="N16" s="8" t="s">
        <v>20</v>
      </c>
      <c r="O16" s="8" t="s">
        <v>20</v>
      </c>
      <c r="P16" s="8" t="s">
        <v>20</v>
      </c>
      <c r="Q16" s="8" t="s">
        <v>20</v>
      </c>
      <c r="R16" s="8" t="s">
        <v>20</v>
      </c>
      <c r="S16" s="8" t="s">
        <v>20</v>
      </c>
      <c r="T16" s="8" t="s">
        <v>20</v>
      </c>
      <c r="U16" s="8" t="s">
        <v>20</v>
      </c>
      <c r="V16" s="8" t="s">
        <v>20</v>
      </c>
    </row>
    <row r="17" spans="1:22" x14ac:dyDescent="0.25">
      <c r="A17" t="s">
        <v>21</v>
      </c>
      <c r="B17">
        <v>0</v>
      </c>
      <c r="C17">
        <v>0</v>
      </c>
      <c r="D17">
        <f t="shared" ref="D17:D41" si="10">B17+C17</f>
        <v>0</v>
      </c>
      <c r="E17">
        <v>0</v>
      </c>
      <c r="F17">
        <v>0</v>
      </c>
      <c r="G17">
        <f t="shared" ref="G17:G41" si="11">E17+F17</f>
        <v>0</v>
      </c>
      <c r="H17">
        <v>0</v>
      </c>
      <c r="I17">
        <v>0</v>
      </c>
      <c r="J17">
        <f t="shared" ref="J17:J41" si="12">H17+I17</f>
        <v>0</v>
      </c>
      <c r="K17">
        <f t="shared" ref="K17:K41" si="13">E17 + H17</f>
        <v>0</v>
      </c>
      <c r="L17">
        <f t="shared" ref="L17:L41" si="14">F17 + I17</f>
        <v>0</v>
      </c>
      <c r="M17">
        <f t="shared" ref="M17:M41" si="15">K17 + L17</f>
        <v>0</v>
      </c>
      <c r="N17">
        <f>IF(K336&gt;0,ROUND((K17/K336) * 100, 4), "")</f>
        <v>0</v>
      </c>
      <c r="O17">
        <f>IF(L336&gt;0,ROUND((L17/L336) * 100, 4), "")</f>
        <v>0</v>
      </c>
      <c r="P17">
        <f>IF(M336&gt;0,ROUND((M17/M336) * 100, 4), "")</f>
        <v>0</v>
      </c>
      <c r="Q17">
        <v>0</v>
      </c>
      <c r="R17">
        <v>0</v>
      </c>
      <c r="S17">
        <f t="shared" ref="S17:S41" si="16">Q17 + R17</f>
        <v>0</v>
      </c>
      <c r="T17">
        <f t="shared" ref="T17:T41" si="17">B17 + K17 - Q17</f>
        <v>0</v>
      </c>
      <c r="U17">
        <f t="shared" ref="U17:U41" si="18">C17 + L17 - R17</f>
        <v>0</v>
      </c>
      <c r="V17">
        <f t="shared" ref="V17:V41" si="19">T17 + U17</f>
        <v>0</v>
      </c>
    </row>
    <row r="18" spans="1:22" x14ac:dyDescent="0.25">
      <c r="A18" t="s">
        <v>22</v>
      </c>
      <c r="B18">
        <v>61</v>
      </c>
      <c r="C18">
        <v>9</v>
      </c>
      <c r="D18">
        <f t="shared" si="10"/>
        <v>70</v>
      </c>
      <c r="E18">
        <v>2348</v>
      </c>
      <c r="F18">
        <v>37</v>
      </c>
      <c r="G18">
        <f t="shared" si="11"/>
        <v>2385</v>
      </c>
      <c r="H18">
        <v>8</v>
      </c>
      <c r="I18">
        <v>1</v>
      </c>
      <c r="J18">
        <f t="shared" si="12"/>
        <v>9</v>
      </c>
      <c r="K18">
        <f t="shared" si="13"/>
        <v>2356</v>
      </c>
      <c r="L18">
        <f t="shared" si="14"/>
        <v>38</v>
      </c>
      <c r="M18">
        <f t="shared" si="15"/>
        <v>2394</v>
      </c>
      <c r="N18">
        <f>IF(K336&gt;0,ROUND((K18/K336) * 100, 4), "")</f>
        <v>9.1431000000000004</v>
      </c>
      <c r="O18">
        <f>IF(L336&gt;0,ROUND((L18/L336) * 100, 4), "")</f>
        <v>0.42030000000000001</v>
      </c>
      <c r="P18">
        <f>IF(M336&gt;0,ROUND((M18/M336) * 100, 4), "")</f>
        <v>6.8773</v>
      </c>
      <c r="Q18">
        <v>2329</v>
      </c>
      <c r="R18">
        <v>32</v>
      </c>
      <c r="S18">
        <f t="shared" si="16"/>
        <v>2361</v>
      </c>
      <c r="T18">
        <f t="shared" si="17"/>
        <v>88</v>
      </c>
      <c r="U18">
        <f t="shared" si="18"/>
        <v>15</v>
      </c>
      <c r="V18">
        <f t="shared" si="19"/>
        <v>103</v>
      </c>
    </row>
    <row r="19" spans="1:22" x14ac:dyDescent="0.25">
      <c r="A19" t="s">
        <v>23</v>
      </c>
      <c r="B19">
        <v>0</v>
      </c>
      <c r="C19">
        <v>0</v>
      </c>
      <c r="D19">
        <f t="shared" si="10"/>
        <v>0</v>
      </c>
      <c r="E19">
        <v>0</v>
      </c>
      <c r="F19">
        <v>0</v>
      </c>
      <c r="G19">
        <f t="shared" si="11"/>
        <v>0</v>
      </c>
      <c r="H19">
        <v>0</v>
      </c>
      <c r="I19">
        <v>0</v>
      </c>
      <c r="J19">
        <f t="shared" si="12"/>
        <v>0</v>
      </c>
      <c r="K19">
        <f t="shared" si="13"/>
        <v>0</v>
      </c>
      <c r="L19">
        <f t="shared" si="14"/>
        <v>0</v>
      </c>
      <c r="M19">
        <f t="shared" si="15"/>
        <v>0</v>
      </c>
      <c r="N19">
        <f>IF(K336&gt;0,ROUND((K19/K336) * 100, 4), "")</f>
        <v>0</v>
      </c>
      <c r="O19">
        <f>IF(L336&gt;0,ROUND((L19/L336) * 100, 4), "")</f>
        <v>0</v>
      </c>
      <c r="P19">
        <f>IF(M336&gt;0,ROUND((M19/M336) * 100, 4), "")</f>
        <v>0</v>
      </c>
      <c r="Q19">
        <v>0</v>
      </c>
      <c r="R19">
        <v>0</v>
      </c>
      <c r="S19">
        <f t="shared" si="16"/>
        <v>0</v>
      </c>
      <c r="T19">
        <f t="shared" si="17"/>
        <v>0</v>
      </c>
      <c r="U19">
        <f t="shared" si="18"/>
        <v>0</v>
      </c>
      <c r="V19">
        <f t="shared" si="19"/>
        <v>0</v>
      </c>
    </row>
    <row r="20" spans="1:22" x14ac:dyDescent="0.25">
      <c r="A20" t="s">
        <v>24</v>
      </c>
      <c r="B20">
        <v>1</v>
      </c>
      <c r="C20">
        <v>1</v>
      </c>
      <c r="D20">
        <f t="shared" si="10"/>
        <v>2</v>
      </c>
      <c r="E20">
        <v>2</v>
      </c>
      <c r="F20">
        <v>15</v>
      </c>
      <c r="G20">
        <f t="shared" si="11"/>
        <v>17</v>
      </c>
      <c r="H20">
        <v>0</v>
      </c>
      <c r="I20">
        <v>3</v>
      </c>
      <c r="J20">
        <f t="shared" si="12"/>
        <v>3</v>
      </c>
      <c r="K20">
        <f t="shared" si="13"/>
        <v>2</v>
      </c>
      <c r="L20">
        <f t="shared" si="14"/>
        <v>18</v>
      </c>
      <c r="M20">
        <f t="shared" si="15"/>
        <v>20</v>
      </c>
      <c r="N20">
        <f>IF(K336&gt;0,ROUND((K20/K336) * 100, 4), "")</f>
        <v>7.7999999999999996E-3</v>
      </c>
      <c r="O20">
        <f>IF(L336&gt;0,ROUND((L20/L336) * 100, 4), "")</f>
        <v>0.1991</v>
      </c>
      <c r="P20">
        <f>IF(M336&gt;0,ROUND((M20/M336) * 100, 4), "")</f>
        <v>5.7500000000000002E-2</v>
      </c>
      <c r="Q20">
        <v>3</v>
      </c>
      <c r="R20">
        <v>18</v>
      </c>
      <c r="S20">
        <f t="shared" si="16"/>
        <v>21</v>
      </c>
      <c r="T20">
        <f t="shared" si="17"/>
        <v>0</v>
      </c>
      <c r="U20">
        <f t="shared" si="18"/>
        <v>1</v>
      </c>
      <c r="V20">
        <f t="shared" si="19"/>
        <v>1</v>
      </c>
    </row>
    <row r="21" spans="1:22" x14ac:dyDescent="0.25">
      <c r="A21" t="s">
        <v>25</v>
      </c>
      <c r="B21">
        <v>10</v>
      </c>
      <c r="C21">
        <v>40</v>
      </c>
      <c r="D21">
        <f t="shared" si="10"/>
        <v>50</v>
      </c>
      <c r="E21">
        <v>91</v>
      </c>
      <c r="F21">
        <v>221</v>
      </c>
      <c r="G21">
        <f t="shared" si="11"/>
        <v>312</v>
      </c>
      <c r="H21">
        <v>2</v>
      </c>
      <c r="I21">
        <v>10</v>
      </c>
      <c r="J21">
        <f t="shared" si="12"/>
        <v>12</v>
      </c>
      <c r="K21">
        <f t="shared" si="13"/>
        <v>93</v>
      </c>
      <c r="L21">
        <f t="shared" si="14"/>
        <v>231</v>
      </c>
      <c r="M21">
        <f t="shared" si="15"/>
        <v>324</v>
      </c>
      <c r="N21">
        <f>IF(K336&gt;0,ROUND((K21/K336) * 100, 4), "")</f>
        <v>0.3609</v>
      </c>
      <c r="O21">
        <f>IF(L336&gt;0,ROUND((L21/L336) * 100, 4), "")</f>
        <v>2.5547</v>
      </c>
      <c r="P21">
        <f>IF(M336&gt;0,ROUND((M21/M336) * 100, 4), "")</f>
        <v>0.93079999999999996</v>
      </c>
      <c r="Q21">
        <v>91</v>
      </c>
      <c r="R21">
        <v>226</v>
      </c>
      <c r="S21">
        <f t="shared" si="16"/>
        <v>317</v>
      </c>
      <c r="T21">
        <f t="shared" si="17"/>
        <v>12</v>
      </c>
      <c r="U21">
        <f t="shared" si="18"/>
        <v>45</v>
      </c>
      <c r="V21">
        <f t="shared" si="19"/>
        <v>57</v>
      </c>
    </row>
    <row r="22" spans="1:22" x14ac:dyDescent="0.25">
      <c r="A22" t="s">
        <v>26</v>
      </c>
      <c r="B22">
        <v>0</v>
      </c>
      <c r="C22">
        <v>0</v>
      </c>
      <c r="D22">
        <f t="shared" si="10"/>
        <v>0</v>
      </c>
      <c r="E22">
        <v>0</v>
      </c>
      <c r="F22">
        <v>1</v>
      </c>
      <c r="G22">
        <f t="shared" si="11"/>
        <v>1</v>
      </c>
      <c r="H22">
        <v>0</v>
      </c>
      <c r="I22">
        <v>0</v>
      </c>
      <c r="J22">
        <f t="shared" si="12"/>
        <v>0</v>
      </c>
      <c r="K22">
        <f t="shared" si="13"/>
        <v>0</v>
      </c>
      <c r="L22">
        <f t="shared" si="14"/>
        <v>1</v>
      </c>
      <c r="M22">
        <f t="shared" si="15"/>
        <v>1</v>
      </c>
      <c r="N22">
        <f>IF(K336&gt;0,ROUND((K22/K336) * 100, 4), "")</f>
        <v>0</v>
      </c>
      <c r="O22">
        <f>IF(L336&gt;0,ROUND((L22/L336) * 100, 4), "")</f>
        <v>1.11E-2</v>
      </c>
      <c r="P22">
        <f>IF(M336&gt;0,ROUND((M22/M336) * 100, 4), "")</f>
        <v>2.8999999999999998E-3</v>
      </c>
      <c r="Q22">
        <v>0</v>
      </c>
      <c r="R22">
        <v>1</v>
      </c>
      <c r="S22">
        <f t="shared" si="16"/>
        <v>1</v>
      </c>
      <c r="T22">
        <f t="shared" si="17"/>
        <v>0</v>
      </c>
      <c r="U22">
        <f t="shared" si="18"/>
        <v>0</v>
      </c>
      <c r="V22">
        <f t="shared" si="19"/>
        <v>0</v>
      </c>
    </row>
    <row r="23" spans="1:22" x14ac:dyDescent="0.25">
      <c r="A23" t="s">
        <v>27</v>
      </c>
      <c r="B23">
        <v>2</v>
      </c>
      <c r="C23">
        <v>1</v>
      </c>
      <c r="D23">
        <f t="shared" si="10"/>
        <v>3</v>
      </c>
      <c r="E23">
        <v>35</v>
      </c>
      <c r="F23">
        <v>118</v>
      </c>
      <c r="G23">
        <f t="shared" si="11"/>
        <v>153</v>
      </c>
      <c r="H23">
        <v>0</v>
      </c>
      <c r="I23">
        <v>5</v>
      </c>
      <c r="J23">
        <f t="shared" si="12"/>
        <v>5</v>
      </c>
      <c r="K23">
        <f t="shared" si="13"/>
        <v>35</v>
      </c>
      <c r="L23">
        <f t="shared" si="14"/>
        <v>123</v>
      </c>
      <c r="M23">
        <f t="shared" si="15"/>
        <v>158</v>
      </c>
      <c r="N23">
        <f>IF(K336&gt;0,ROUND((K23/K336) * 100, 4), "")</f>
        <v>0.1358</v>
      </c>
      <c r="O23">
        <f>IF(L336&gt;0,ROUND((L23/L336) * 100, 4), "")</f>
        <v>1.3603000000000001</v>
      </c>
      <c r="P23">
        <f>IF(M336&gt;0,ROUND((M23/M336) * 100, 4), "")</f>
        <v>0.45390000000000003</v>
      </c>
      <c r="Q23">
        <v>8</v>
      </c>
      <c r="R23">
        <v>61</v>
      </c>
      <c r="S23">
        <f t="shared" si="16"/>
        <v>69</v>
      </c>
      <c r="T23">
        <f t="shared" si="17"/>
        <v>29</v>
      </c>
      <c r="U23">
        <f t="shared" si="18"/>
        <v>63</v>
      </c>
      <c r="V23">
        <f t="shared" si="19"/>
        <v>92</v>
      </c>
    </row>
    <row r="24" spans="1:22" x14ac:dyDescent="0.25">
      <c r="A24" t="s">
        <v>28</v>
      </c>
      <c r="B24">
        <v>0</v>
      </c>
      <c r="C24">
        <v>0</v>
      </c>
      <c r="D24">
        <f t="shared" si="10"/>
        <v>0</v>
      </c>
      <c r="E24">
        <v>0</v>
      </c>
      <c r="F24">
        <v>3</v>
      </c>
      <c r="G24">
        <f t="shared" si="11"/>
        <v>3</v>
      </c>
      <c r="H24">
        <v>0</v>
      </c>
      <c r="I24">
        <v>0</v>
      </c>
      <c r="J24">
        <f t="shared" si="12"/>
        <v>0</v>
      </c>
      <c r="K24">
        <f t="shared" si="13"/>
        <v>0</v>
      </c>
      <c r="L24">
        <f t="shared" si="14"/>
        <v>3</v>
      </c>
      <c r="M24">
        <f t="shared" si="15"/>
        <v>3</v>
      </c>
      <c r="N24">
        <f>IF(K336&gt;0,ROUND((K24/K336) * 100, 4), "")</f>
        <v>0</v>
      </c>
      <c r="O24">
        <f>IF(L336&gt;0,ROUND((L24/L336) * 100, 4), "")</f>
        <v>3.32E-2</v>
      </c>
      <c r="P24">
        <f>IF(M336&gt;0,ROUND((M24/M336) * 100, 4), "")</f>
        <v>8.6E-3</v>
      </c>
      <c r="Q24">
        <v>0</v>
      </c>
      <c r="R24">
        <v>3</v>
      </c>
      <c r="S24">
        <f t="shared" si="16"/>
        <v>3</v>
      </c>
      <c r="T24">
        <f t="shared" si="17"/>
        <v>0</v>
      </c>
      <c r="U24">
        <f t="shared" si="18"/>
        <v>0</v>
      </c>
      <c r="V24">
        <f t="shared" si="19"/>
        <v>0</v>
      </c>
    </row>
    <row r="25" spans="1:22" x14ac:dyDescent="0.25">
      <c r="A25" t="s">
        <v>29</v>
      </c>
      <c r="B25">
        <v>1</v>
      </c>
      <c r="C25">
        <v>16</v>
      </c>
      <c r="D25">
        <f t="shared" si="10"/>
        <v>17</v>
      </c>
      <c r="E25">
        <v>109</v>
      </c>
      <c r="F25">
        <v>48</v>
      </c>
      <c r="G25">
        <f t="shared" si="11"/>
        <v>157</v>
      </c>
      <c r="H25">
        <v>0</v>
      </c>
      <c r="I25">
        <v>0</v>
      </c>
      <c r="J25">
        <f t="shared" si="12"/>
        <v>0</v>
      </c>
      <c r="K25">
        <f t="shared" si="13"/>
        <v>109</v>
      </c>
      <c r="L25">
        <f t="shared" si="14"/>
        <v>48</v>
      </c>
      <c r="M25">
        <f t="shared" si="15"/>
        <v>157</v>
      </c>
      <c r="N25">
        <f>IF(K336&gt;0,ROUND((K25/K336) * 100, 4), "")</f>
        <v>0.42299999999999999</v>
      </c>
      <c r="O25">
        <f>IF(L336&gt;0,ROUND((L25/L336) * 100, 4), "")</f>
        <v>0.53090000000000004</v>
      </c>
      <c r="P25">
        <f>IF(M336&gt;0,ROUND((M25/M336) * 100, 4), "")</f>
        <v>0.45100000000000001</v>
      </c>
      <c r="Q25">
        <v>104</v>
      </c>
      <c r="R25">
        <v>49</v>
      </c>
      <c r="S25">
        <f t="shared" si="16"/>
        <v>153</v>
      </c>
      <c r="T25">
        <f t="shared" si="17"/>
        <v>6</v>
      </c>
      <c r="U25">
        <f t="shared" si="18"/>
        <v>15</v>
      </c>
      <c r="V25">
        <f t="shared" si="19"/>
        <v>21</v>
      </c>
    </row>
    <row r="26" spans="1:22" x14ac:dyDescent="0.25">
      <c r="A26" t="s">
        <v>30</v>
      </c>
      <c r="B26">
        <v>0</v>
      </c>
      <c r="C26">
        <v>0</v>
      </c>
      <c r="D26">
        <f t="shared" si="10"/>
        <v>0</v>
      </c>
      <c r="E26">
        <v>0</v>
      </c>
      <c r="F26">
        <v>0</v>
      </c>
      <c r="G26">
        <f t="shared" si="11"/>
        <v>0</v>
      </c>
      <c r="H26">
        <v>0</v>
      </c>
      <c r="I26">
        <v>0</v>
      </c>
      <c r="J26">
        <f t="shared" si="12"/>
        <v>0</v>
      </c>
      <c r="K26">
        <f t="shared" si="13"/>
        <v>0</v>
      </c>
      <c r="L26">
        <f t="shared" si="14"/>
        <v>0</v>
      </c>
      <c r="M26">
        <f t="shared" si="15"/>
        <v>0</v>
      </c>
      <c r="N26">
        <f>IF(K336&gt;0,ROUND((K26/K336) * 100, 4), "")</f>
        <v>0</v>
      </c>
      <c r="O26">
        <f>IF(L336&gt;0,ROUND((L26/L336) * 100, 4), "")</f>
        <v>0</v>
      </c>
      <c r="P26">
        <f>IF(M336&gt;0,ROUND((M26/M336) * 100, 4), "")</f>
        <v>0</v>
      </c>
      <c r="Q26">
        <v>0</v>
      </c>
      <c r="R26">
        <v>0</v>
      </c>
      <c r="S26">
        <f t="shared" si="16"/>
        <v>0</v>
      </c>
      <c r="T26">
        <f t="shared" si="17"/>
        <v>0</v>
      </c>
      <c r="U26">
        <f t="shared" si="18"/>
        <v>0</v>
      </c>
      <c r="V26">
        <f t="shared" si="19"/>
        <v>0</v>
      </c>
    </row>
    <row r="27" spans="1:22" x14ac:dyDescent="0.25">
      <c r="A27" t="s">
        <v>31</v>
      </c>
      <c r="B27">
        <v>0</v>
      </c>
      <c r="C27">
        <v>0</v>
      </c>
      <c r="D27">
        <f t="shared" si="10"/>
        <v>0</v>
      </c>
      <c r="E27">
        <v>0</v>
      </c>
      <c r="F27">
        <v>0</v>
      </c>
      <c r="G27">
        <f t="shared" si="11"/>
        <v>0</v>
      </c>
      <c r="H27">
        <v>0</v>
      </c>
      <c r="I27">
        <v>0</v>
      </c>
      <c r="J27">
        <f t="shared" si="12"/>
        <v>0</v>
      </c>
      <c r="K27">
        <f t="shared" si="13"/>
        <v>0</v>
      </c>
      <c r="L27">
        <f t="shared" si="14"/>
        <v>0</v>
      </c>
      <c r="M27">
        <f t="shared" si="15"/>
        <v>0</v>
      </c>
      <c r="N27">
        <f>IF(K336&gt;0,ROUND((K27/K336) * 100, 4), "")</f>
        <v>0</v>
      </c>
      <c r="O27">
        <f>IF(L336&gt;0,ROUND((L27/L336) * 100, 4), "")</f>
        <v>0</v>
      </c>
      <c r="P27">
        <f>IF(M336&gt;0,ROUND((M27/M336) * 100, 4), "")</f>
        <v>0</v>
      </c>
      <c r="Q27">
        <v>0</v>
      </c>
      <c r="R27">
        <v>0</v>
      </c>
      <c r="S27">
        <f t="shared" si="16"/>
        <v>0</v>
      </c>
      <c r="T27">
        <f t="shared" si="17"/>
        <v>0</v>
      </c>
      <c r="U27">
        <f t="shared" si="18"/>
        <v>0</v>
      </c>
      <c r="V27">
        <f t="shared" si="19"/>
        <v>0</v>
      </c>
    </row>
    <row r="28" spans="1:22" x14ac:dyDescent="0.25">
      <c r="A28" t="s">
        <v>32</v>
      </c>
      <c r="B28">
        <v>0</v>
      </c>
      <c r="C28">
        <v>0</v>
      </c>
      <c r="D28">
        <f t="shared" si="10"/>
        <v>0</v>
      </c>
      <c r="E28">
        <v>0</v>
      </c>
      <c r="F28">
        <v>0</v>
      </c>
      <c r="G28">
        <f t="shared" si="11"/>
        <v>0</v>
      </c>
      <c r="H28">
        <v>0</v>
      </c>
      <c r="I28">
        <v>0</v>
      </c>
      <c r="J28">
        <f t="shared" si="12"/>
        <v>0</v>
      </c>
      <c r="K28">
        <f t="shared" si="13"/>
        <v>0</v>
      </c>
      <c r="L28">
        <f t="shared" si="14"/>
        <v>0</v>
      </c>
      <c r="M28">
        <f t="shared" si="15"/>
        <v>0</v>
      </c>
      <c r="N28">
        <f>IF(K336&gt;0,ROUND((K28/K336) * 100, 4), "")</f>
        <v>0</v>
      </c>
      <c r="O28">
        <f>IF(L336&gt;0,ROUND((L28/L336) * 100, 4), "")</f>
        <v>0</v>
      </c>
      <c r="P28">
        <f>IF(M336&gt;0,ROUND((M28/M336) * 100, 4), "")</f>
        <v>0</v>
      </c>
      <c r="Q28">
        <v>0</v>
      </c>
      <c r="R28">
        <v>0</v>
      </c>
      <c r="S28">
        <f t="shared" si="16"/>
        <v>0</v>
      </c>
      <c r="T28">
        <f t="shared" si="17"/>
        <v>0</v>
      </c>
      <c r="U28">
        <f t="shared" si="18"/>
        <v>0</v>
      </c>
      <c r="V28">
        <f t="shared" si="19"/>
        <v>0</v>
      </c>
    </row>
    <row r="29" spans="1:22" x14ac:dyDescent="0.25">
      <c r="A29" t="s">
        <v>33</v>
      </c>
      <c r="B29">
        <v>0</v>
      </c>
      <c r="C29">
        <v>0</v>
      </c>
      <c r="D29">
        <f t="shared" si="10"/>
        <v>0</v>
      </c>
      <c r="E29">
        <v>1</v>
      </c>
      <c r="F29">
        <v>20</v>
      </c>
      <c r="G29">
        <f t="shared" si="11"/>
        <v>21</v>
      </c>
      <c r="H29">
        <v>0</v>
      </c>
      <c r="I29">
        <v>4</v>
      </c>
      <c r="J29">
        <f t="shared" si="12"/>
        <v>4</v>
      </c>
      <c r="K29">
        <f t="shared" si="13"/>
        <v>1</v>
      </c>
      <c r="L29">
        <f t="shared" si="14"/>
        <v>24</v>
      </c>
      <c r="M29">
        <f t="shared" si="15"/>
        <v>25</v>
      </c>
      <c r="N29">
        <f>IF(K336&gt;0,ROUND((K29/K336) * 100, 4), "")</f>
        <v>3.8999999999999998E-3</v>
      </c>
      <c r="O29">
        <f>IF(L336&gt;0,ROUND((L29/L336) * 100, 4), "")</f>
        <v>0.26540000000000002</v>
      </c>
      <c r="P29">
        <f>IF(M336&gt;0,ROUND((M29/M336) * 100, 4), "")</f>
        <v>7.1800000000000003E-2</v>
      </c>
      <c r="Q29">
        <v>0</v>
      </c>
      <c r="R29">
        <v>24</v>
      </c>
      <c r="S29">
        <f t="shared" si="16"/>
        <v>24</v>
      </c>
      <c r="T29">
        <f t="shared" si="17"/>
        <v>1</v>
      </c>
      <c r="U29">
        <f t="shared" si="18"/>
        <v>0</v>
      </c>
      <c r="V29">
        <f t="shared" si="19"/>
        <v>1</v>
      </c>
    </row>
    <row r="30" spans="1:22" x14ac:dyDescent="0.25">
      <c r="A30" t="s">
        <v>34</v>
      </c>
      <c r="B30">
        <v>0</v>
      </c>
      <c r="C30">
        <v>1</v>
      </c>
      <c r="D30">
        <f t="shared" si="10"/>
        <v>1</v>
      </c>
      <c r="E30">
        <v>0</v>
      </c>
      <c r="F30">
        <v>16</v>
      </c>
      <c r="G30">
        <f t="shared" si="11"/>
        <v>16</v>
      </c>
      <c r="H30">
        <v>0</v>
      </c>
      <c r="I30">
        <v>6</v>
      </c>
      <c r="J30">
        <f t="shared" si="12"/>
        <v>6</v>
      </c>
      <c r="K30">
        <f t="shared" si="13"/>
        <v>0</v>
      </c>
      <c r="L30">
        <f t="shared" si="14"/>
        <v>22</v>
      </c>
      <c r="M30">
        <f t="shared" si="15"/>
        <v>22</v>
      </c>
      <c r="N30">
        <f>IF(K336&gt;0,ROUND((K30/K336) * 100, 4), "")</f>
        <v>0</v>
      </c>
      <c r="O30">
        <f>IF(L336&gt;0,ROUND((L30/L336) * 100, 4), "")</f>
        <v>0.24329999999999999</v>
      </c>
      <c r="P30">
        <f>IF(M336&gt;0,ROUND((M30/M336) * 100, 4), "")</f>
        <v>6.3200000000000006E-2</v>
      </c>
      <c r="Q30">
        <v>0</v>
      </c>
      <c r="R30">
        <v>20</v>
      </c>
      <c r="S30">
        <f t="shared" si="16"/>
        <v>20</v>
      </c>
      <c r="T30">
        <f t="shared" si="17"/>
        <v>0</v>
      </c>
      <c r="U30">
        <f t="shared" si="18"/>
        <v>3</v>
      </c>
      <c r="V30">
        <f t="shared" si="19"/>
        <v>3</v>
      </c>
    </row>
    <row r="31" spans="1:22" x14ac:dyDescent="0.25">
      <c r="A31" t="s">
        <v>35</v>
      </c>
      <c r="B31">
        <v>0</v>
      </c>
      <c r="C31">
        <v>0</v>
      </c>
      <c r="D31">
        <f t="shared" si="10"/>
        <v>0</v>
      </c>
      <c r="E31">
        <v>5</v>
      </c>
      <c r="F31">
        <v>31</v>
      </c>
      <c r="G31">
        <f t="shared" si="11"/>
        <v>36</v>
      </c>
      <c r="H31">
        <v>1</v>
      </c>
      <c r="I31">
        <v>2</v>
      </c>
      <c r="J31">
        <f t="shared" si="12"/>
        <v>3</v>
      </c>
      <c r="K31">
        <f t="shared" si="13"/>
        <v>6</v>
      </c>
      <c r="L31">
        <f t="shared" si="14"/>
        <v>33</v>
      </c>
      <c r="M31">
        <f t="shared" si="15"/>
        <v>39</v>
      </c>
      <c r="N31">
        <f>IF(K336&gt;0,ROUND((K31/K336) * 100, 4), "")</f>
        <v>2.3300000000000001E-2</v>
      </c>
      <c r="O31">
        <f>IF(L336&gt;0,ROUND((L31/L336) * 100, 4), "")</f>
        <v>0.36499999999999999</v>
      </c>
      <c r="P31">
        <f>IF(M336&gt;0,ROUND((M31/M336) * 100, 4), "")</f>
        <v>0.112</v>
      </c>
      <c r="Q31">
        <v>5</v>
      </c>
      <c r="R31">
        <v>28</v>
      </c>
      <c r="S31">
        <f t="shared" si="16"/>
        <v>33</v>
      </c>
      <c r="T31">
        <f t="shared" si="17"/>
        <v>1</v>
      </c>
      <c r="U31">
        <f t="shared" si="18"/>
        <v>5</v>
      </c>
      <c r="V31">
        <f t="shared" si="19"/>
        <v>6</v>
      </c>
    </row>
    <row r="32" spans="1:22" x14ac:dyDescent="0.25">
      <c r="A32" t="s">
        <v>36</v>
      </c>
      <c r="B32">
        <v>1</v>
      </c>
      <c r="C32">
        <v>0</v>
      </c>
      <c r="D32">
        <f t="shared" si="10"/>
        <v>1</v>
      </c>
      <c r="E32">
        <v>3</v>
      </c>
      <c r="F32">
        <v>12</v>
      </c>
      <c r="G32">
        <f t="shared" si="11"/>
        <v>15</v>
      </c>
      <c r="H32">
        <v>0</v>
      </c>
      <c r="I32">
        <v>0</v>
      </c>
      <c r="J32">
        <f t="shared" si="12"/>
        <v>0</v>
      </c>
      <c r="K32">
        <f t="shared" si="13"/>
        <v>3</v>
      </c>
      <c r="L32">
        <f t="shared" si="14"/>
        <v>12</v>
      </c>
      <c r="M32">
        <f t="shared" si="15"/>
        <v>15</v>
      </c>
      <c r="N32">
        <f>IF(K336&gt;0,ROUND((K32/K336) * 100, 4), "")</f>
        <v>1.1599999999999999E-2</v>
      </c>
      <c r="O32">
        <f>IF(L336&gt;0,ROUND((L32/L336) * 100, 4), "")</f>
        <v>0.13270000000000001</v>
      </c>
      <c r="P32">
        <f>IF(M336&gt;0,ROUND((M32/M336) * 100, 4), "")</f>
        <v>4.3099999999999999E-2</v>
      </c>
      <c r="Q32">
        <v>4</v>
      </c>
      <c r="R32">
        <v>11</v>
      </c>
      <c r="S32">
        <f t="shared" si="16"/>
        <v>15</v>
      </c>
      <c r="T32">
        <f t="shared" si="17"/>
        <v>0</v>
      </c>
      <c r="U32">
        <f t="shared" si="18"/>
        <v>1</v>
      </c>
      <c r="V32">
        <f t="shared" si="19"/>
        <v>1</v>
      </c>
    </row>
    <row r="33" spans="1:22" x14ac:dyDescent="0.25">
      <c r="A33" t="s">
        <v>37</v>
      </c>
      <c r="B33">
        <v>0</v>
      </c>
      <c r="C33">
        <v>0</v>
      </c>
      <c r="D33">
        <f t="shared" si="10"/>
        <v>0</v>
      </c>
      <c r="E33">
        <v>5</v>
      </c>
      <c r="F33">
        <v>8</v>
      </c>
      <c r="G33">
        <f t="shared" si="11"/>
        <v>13</v>
      </c>
      <c r="H33">
        <v>0</v>
      </c>
      <c r="I33">
        <v>0</v>
      </c>
      <c r="J33">
        <f t="shared" si="12"/>
        <v>0</v>
      </c>
      <c r="K33">
        <f t="shared" si="13"/>
        <v>5</v>
      </c>
      <c r="L33">
        <f t="shared" si="14"/>
        <v>8</v>
      </c>
      <c r="M33">
        <f t="shared" si="15"/>
        <v>13</v>
      </c>
      <c r="N33">
        <f>IF(K336&gt;0,ROUND((K33/K336) * 100, 4), "")</f>
        <v>1.9400000000000001E-2</v>
      </c>
      <c r="O33">
        <f>IF(L336&gt;0,ROUND((L33/L336) * 100, 4), "")</f>
        <v>8.8499999999999995E-2</v>
      </c>
      <c r="P33">
        <f>IF(M336&gt;0,ROUND((M33/M336) * 100, 4), "")</f>
        <v>3.73E-2</v>
      </c>
      <c r="Q33">
        <v>5</v>
      </c>
      <c r="R33">
        <v>8</v>
      </c>
      <c r="S33">
        <f t="shared" si="16"/>
        <v>13</v>
      </c>
      <c r="T33">
        <f t="shared" si="17"/>
        <v>0</v>
      </c>
      <c r="U33">
        <f t="shared" si="18"/>
        <v>0</v>
      </c>
      <c r="V33">
        <f t="shared" si="19"/>
        <v>0</v>
      </c>
    </row>
    <row r="34" spans="1:22" x14ac:dyDescent="0.25">
      <c r="A34" t="s">
        <v>38</v>
      </c>
      <c r="B34">
        <v>1</v>
      </c>
      <c r="C34">
        <v>3</v>
      </c>
      <c r="D34">
        <f t="shared" si="10"/>
        <v>4</v>
      </c>
      <c r="E34">
        <v>31</v>
      </c>
      <c r="F34">
        <v>34</v>
      </c>
      <c r="G34">
        <f t="shared" si="11"/>
        <v>65</v>
      </c>
      <c r="H34">
        <v>0</v>
      </c>
      <c r="I34">
        <v>5</v>
      </c>
      <c r="J34">
        <f t="shared" si="12"/>
        <v>5</v>
      </c>
      <c r="K34">
        <f t="shared" si="13"/>
        <v>31</v>
      </c>
      <c r="L34">
        <f t="shared" si="14"/>
        <v>39</v>
      </c>
      <c r="M34">
        <f t="shared" si="15"/>
        <v>70</v>
      </c>
      <c r="N34">
        <f>IF(K336&gt;0,ROUND((K34/K336) * 100, 4), "")</f>
        <v>0.1203</v>
      </c>
      <c r="O34">
        <f>IF(L336&gt;0,ROUND((L34/L336) * 100, 4), "")</f>
        <v>0.43130000000000002</v>
      </c>
      <c r="P34">
        <f>IF(M336&gt;0,ROUND((M34/M336) * 100, 4), "")</f>
        <v>0.2011</v>
      </c>
      <c r="Q34">
        <v>27</v>
      </c>
      <c r="R34">
        <v>41</v>
      </c>
      <c r="S34">
        <f t="shared" si="16"/>
        <v>68</v>
      </c>
      <c r="T34">
        <f t="shared" si="17"/>
        <v>5</v>
      </c>
      <c r="U34">
        <f t="shared" si="18"/>
        <v>1</v>
      </c>
      <c r="V34">
        <f t="shared" si="19"/>
        <v>6</v>
      </c>
    </row>
    <row r="35" spans="1:22" x14ac:dyDescent="0.25">
      <c r="A35" t="s">
        <v>39</v>
      </c>
      <c r="B35">
        <v>0</v>
      </c>
      <c r="C35">
        <v>0</v>
      </c>
      <c r="D35">
        <f t="shared" si="10"/>
        <v>0</v>
      </c>
      <c r="E35">
        <v>0</v>
      </c>
      <c r="F35">
        <v>0</v>
      </c>
      <c r="G35">
        <f t="shared" si="11"/>
        <v>0</v>
      </c>
      <c r="H35">
        <v>0</v>
      </c>
      <c r="I35">
        <v>1</v>
      </c>
      <c r="J35">
        <f t="shared" si="12"/>
        <v>1</v>
      </c>
      <c r="K35">
        <f t="shared" si="13"/>
        <v>0</v>
      </c>
      <c r="L35">
        <f t="shared" si="14"/>
        <v>1</v>
      </c>
      <c r="M35">
        <f t="shared" si="15"/>
        <v>1</v>
      </c>
      <c r="N35">
        <f>IF(K336&gt;0,ROUND((K35/K336) * 100, 4), "")</f>
        <v>0</v>
      </c>
      <c r="O35">
        <f>IF(L336&gt;0,ROUND((L35/L336) * 100, 4), "")</f>
        <v>1.11E-2</v>
      </c>
      <c r="P35">
        <f>IF(M336&gt;0,ROUND((M35/M336) * 100, 4), "")</f>
        <v>2.8999999999999998E-3</v>
      </c>
      <c r="Q35">
        <v>0</v>
      </c>
      <c r="R35">
        <v>1</v>
      </c>
      <c r="S35">
        <f t="shared" si="16"/>
        <v>1</v>
      </c>
      <c r="T35">
        <f t="shared" si="17"/>
        <v>0</v>
      </c>
      <c r="U35">
        <f t="shared" si="18"/>
        <v>0</v>
      </c>
      <c r="V35">
        <f t="shared" si="19"/>
        <v>0</v>
      </c>
    </row>
    <row r="36" spans="1:22" x14ac:dyDescent="0.25">
      <c r="A36" t="s">
        <v>40</v>
      </c>
      <c r="B36">
        <v>0</v>
      </c>
      <c r="C36">
        <v>0</v>
      </c>
      <c r="D36">
        <f t="shared" si="10"/>
        <v>0</v>
      </c>
      <c r="E36">
        <v>0</v>
      </c>
      <c r="F36">
        <v>20</v>
      </c>
      <c r="G36">
        <f t="shared" si="11"/>
        <v>20</v>
      </c>
      <c r="H36">
        <v>0</v>
      </c>
      <c r="I36">
        <v>3</v>
      </c>
      <c r="J36">
        <f t="shared" si="12"/>
        <v>3</v>
      </c>
      <c r="K36">
        <f t="shared" si="13"/>
        <v>0</v>
      </c>
      <c r="L36">
        <f t="shared" si="14"/>
        <v>23</v>
      </c>
      <c r="M36">
        <f t="shared" si="15"/>
        <v>23</v>
      </c>
      <c r="N36">
        <f>IF(K336&gt;0,ROUND((K36/K336) * 100, 4), "")</f>
        <v>0</v>
      </c>
      <c r="O36">
        <f>IF(L336&gt;0,ROUND((L36/L336) * 100, 4), "")</f>
        <v>0.25440000000000002</v>
      </c>
      <c r="P36">
        <f>IF(M336&gt;0,ROUND((M36/M336) * 100, 4), "")</f>
        <v>6.6100000000000006E-2</v>
      </c>
      <c r="Q36">
        <v>0</v>
      </c>
      <c r="R36">
        <v>19</v>
      </c>
      <c r="S36">
        <f t="shared" si="16"/>
        <v>19</v>
      </c>
      <c r="T36">
        <f t="shared" si="17"/>
        <v>0</v>
      </c>
      <c r="U36">
        <f t="shared" si="18"/>
        <v>4</v>
      </c>
      <c r="V36">
        <f t="shared" si="19"/>
        <v>4</v>
      </c>
    </row>
    <row r="37" spans="1:22" x14ac:dyDescent="0.25">
      <c r="A37" t="s">
        <v>41</v>
      </c>
      <c r="B37">
        <v>22</v>
      </c>
      <c r="C37">
        <v>62</v>
      </c>
      <c r="D37">
        <f t="shared" si="10"/>
        <v>84</v>
      </c>
      <c r="E37">
        <v>203</v>
      </c>
      <c r="F37">
        <v>123</v>
      </c>
      <c r="G37">
        <f t="shared" si="11"/>
        <v>326</v>
      </c>
      <c r="H37">
        <v>4</v>
      </c>
      <c r="I37">
        <v>3</v>
      </c>
      <c r="J37">
        <f t="shared" si="12"/>
        <v>7</v>
      </c>
      <c r="K37">
        <f t="shared" si="13"/>
        <v>207</v>
      </c>
      <c r="L37">
        <f t="shared" si="14"/>
        <v>126</v>
      </c>
      <c r="M37">
        <f t="shared" si="15"/>
        <v>333</v>
      </c>
      <c r="N37">
        <f>IF(K336&gt;0,ROUND((K37/K336) * 100, 4), "")</f>
        <v>0.80330000000000001</v>
      </c>
      <c r="O37">
        <f>IF(L336&gt;0,ROUND((L37/L336) * 100, 4), "")</f>
        <v>1.3935</v>
      </c>
      <c r="P37">
        <f>IF(M336&gt;0,ROUND((M37/M336) * 100, 4), "")</f>
        <v>0.95660000000000001</v>
      </c>
      <c r="Q37">
        <v>186</v>
      </c>
      <c r="R37">
        <v>133</v>
      </c>
      <c r="S37">
        <f t="shared" si="16"/>
        <v>319</v>
      </c>
      <c r="T37">
        <f t="shared" si="17"/>
        <v>43</v>
      </c>
      <c r="U37">
        <f t="shared" si="18"/>
        <v>55</v>
      </c>
      <c r="V37">
        <f t="shared" si="19"/>
        <v>98</v>
      </c>
    </row>
    <row r="38" spans="1:22" x14ac:dyDescent="0.25">
      <c r="A38" t="s">
        <v>42</v>
      </c>
      <c r="B38">
        <v>8</v>
      </c>
      <c r="C38">
        <v>8</v>
      </c>
      <c r="D38">
        <f t="shared" si="10"/>
        <v>16</v>
      </c>
      <c r="E38">
        <v>19</v>
      </c>
      <c r="F38">
        <v>1</v>
      </c>
      <c r="G38">
        <f t="shared" si="11"/>
        <v>20</v>
      </c>
      <c r="H38">
        <v>0</v>
      </c>
      <c r="I38">
        <v>0</v>
      </c>
      <c r="J38">
        <f t="shared" si="12"/>
        <v>0</v>
      </c>
      <c r="K38">
        <f t="shared" si="13"/>
        <v>19</v>
      </c>
      <c r="L38">
        <f t="shared" si="14"/>
        <v>1</v>
      </c>
      <c r="M38">
        <f t="shared" si="15"/>
        <v>20</v>
      </c>
      <c r="N38">
        <f>IF(K336&gt;0,ROUND((K38/K336) * 100, 4), "")</f>
        <v>7.3700000000000002E-2</v>
      </c>
      <c r="O38">
        <f>IF(L336&gt;0,ROUND((L38/L336) * 100, 4), "")</f>
        <v>1.11E-2</v>
      </c>
      <c r="P38">
        <f>IF(M336&gt;0,ROUND((M38/M336) * 100, 4), "")</f>
        <v>5.7500000000000002E-2</v>
      </c>
      <c r="Q38">
        <v>14</v>
      </c>
      <c r="R38">
        <v>1</v>
      </c>
      <c r="S38">
        <f t="shared" si="16"/>
        <v>15</v>
      </c>
      <c r="T38">
        <f t="shared" si="17"/>
        <v>13</v>
      </c>
      <c r="U38">
        <f t="shared" si="18"/>
        <v>8</v>
      </c>
      <c r="V38">
        <f t="shared" si="19"/>
        <v>21</v>
      </c>
    </row>
    <row r="39" spans="1:22" x14ac:dyDescent="0.25">
      <c r="A39" t="s">
        <v>43</v>
      </c>
      <c r="B39">
        <v>0</v>
      </c>
      <c r="C39">
        <v>0</v>
      </c>
      <c r="D39">
        <f t="shared" si="10"/>
        <v>0</v>
      </c>
      <c r="E39">
        <v>0</v>
      </c>
      <c r="F39">
        <v>0</v>
      </c>
      <c r="G39">
        <f t="shared" si="11"/>
        <v>0</v>
      </c>
      <c r="H39">
        <v>0</v>
      </c>
      <c r="I39">
        <v>0</v>
      </c>
      <c r="J39">
        <f t="shared" si="12"/>
        <v>0</v>
      </c>
      <c r="K39">
        <f t="shared" si="13"/>
        <v>0</v>
      </c>
      <c r="L39">
        <f t="shared" si="14"/>
        <v>0</v>
      </c>
      <c r="M39">
        <f t="shared" si="15"/>
        <v>0</v>
      </c>
      <c r="N39">
        <f>IF(K336&gt;0,ROUND((K39/K336) * 100, 4), "")</f>
        <v>0</v>
      </c>
      <c r="O39">
        <f>IF(L336&gt;0,ROUND((L39/L336) * 100, 4), "")</f>
        <v>0</v>
      </c>
      <c r="P39">
        <f>IF(M336&gt;0,ROUND((M39/M336) * 100, 4), "")</f>
        <v>0</v>
      </c>
      <c r="Q39">
        <v>0</v>
      </c>
      <c r="R39">
        <v>0</v>
      </c>
      <c r="S39">
        <f t="shared" si="16"/>
        <v>0</v>
      </c>
      <c r="T39">
        <f t="shared" si="17"/>
        <v>0</v>
      </c>
      <c r="U39">
        <f t="shared" si="18"/>
        <v>0</v>
      </c>
      <c r="V39">
        <f t="shared" si="19"/>
        <v>0</v>
      </c>
    </row>
    <row r="40" spans="1:22" x14ac:dyDescent="0.25">
      <c r="A40" t="s">
        <v>44</v>
      </c>
      <c r="B40">
        <v>0</v>
      </c>
      <c r="C40">
        <v>2</v>
      </c>
      <c r="D40">
        <f t="shared" si="10"/>
        <v>2</v>
      </c>
      <c r="E40">
        <v>1</v>
      </c>
      <c r="F40">
        <v>2</v>
      </c>
      <c r="G40">
        <f t="shared" si="11"/>
        <v>3</v>
      </c>
      <c r="H40">
        <v>0</v>
      </c>
      <c r="I40">
        <v>1</v>
      </c>
      <c r="J40">
        <f t="shared" si="12"/>
        <v>1</v>
      </c>
      <c r="K40">
        <f t="shared" si="13"/>
        <v>1</v>
      </c>
      <c r="L40">
        <f t="shared" si="14"/>
        <v>3</v>
      </c>
      <c r="M40">
        <f t="shared" si="15"/>
        <v>4</v>
      </c>
      <c r="N40">
        <f>IF(K336&gt;0,ROUND((K40/K336) * 100, 4), "")</f>
        <v>3.8999999999999998E-3</v>
      </c>
      <c r="O40">
        <f>IF(L336&gt;0,ROUND((L40/L336) * 100, 4), "")</f>
        <v>3.32E-2</v>
      </c>
      <c r="P40">
        <f>IF(M336&gt;0,ROUND((M40/M336) * 100, 4), "")</f>
        <v>1.15E-2</v>
      </c>
      <c r="Q40">
        <v>1</v>
      </c>
      <c r="R40">
        <v>4</v>
      </c>
      <c r="S40">
        <f t="shared" si="16"/>
        <v>5</v>
      </c>
      <c r="T40">
        <f t="shared" si="17"/>
        <v>0</v>
      </c>
      <c r="U40">
        <f t="shared" si="18"/>
        <v>1</v>
      </c>
      <c r="V40">
        <f t="shared" si="19"/>
        <v>1</v>
      </c>
    </row>
    <row r="41" spans="1:22" x14ac:dyDescent="0.25">
      <c r="A41" t="s">
        <v>45</v>
      </c>
      <c r="B41">
        <v>0</v>
      </c>
      <c r="C41">
        <v>0</v>
      </c>
      <c r="D41">
        <f t="shared" si="10"/>
        <v>0</v>
      </c>
      <c r="E41">
        <v>0</v>
      </c>
      <c r="F41">
        <v>1</v>
      </c>
      <c r="G41">
        <f t="shared" si="11"/>
        <v>1</v>
      </c>
      <c r="H41">
        <v>0</v>
      </c>
      <c r="I41">
        <v>0</v>
      </c>
      <c r="J41">
        <f t="shared" si="12"/>
        <v>0</v>
      </c>
      <c r="K41">
        <f t="shared" si="13"/>
        <v>0</v>
      </c>
      <c r="L41">
        <f t="shared" si="14"/>
        <v>1</v>
      </c>
      <c r="M41">
        <f t="shared" si="15"/>
        <v>1</v>
      </c>
      <c r="N41">
        <f>IF(K336&gt;0,ROUND((K41/K336) * 100, 4), "")</f>
        <v>0</v>
      </c>
      <c r="O41">
        <f>IF(L336&gt;0,ROUND((L41/L336) * 100, 4), "")</f>
        <v>1.11E-2</v>
      </c>
      <c r="P41">
        <f>IF(M336&gt;0,ROUND((M41/M336) * 100, 4), "")</f>
        <v>2.8999999999999998E-3</v>
      </c>
      <c r="Q41">
        <v>0</v>
      </c>
      <c r="R41">
        <v>1</v>
      </c>
      <c r="S41">
        <f t="shared" si="16"/>
        <v>1</v>
      </c>
      <c r="T41">
        <f t="shared" si="17"/>
        <v>0</v>
      </c>
      <c r="U41">
        <f t="shared" si="18"/>
        <v>0</v>
      </c>
      <c r="V41">
        <f t="shared" si="19"/>
        <v>0</v>
      </c>
    </row>
    <row r="43" spans="1:22" x14ac:dyDescent="0.25">
      <c r="A43" s="8" t="s">
        <v>46</v>
      </c>
      <c r="B43" s="8" t="s">
        <v>46</v>
      </c>
      <c r="C43" s="8" t="s">
        <v>46</v>
      </c>
      <c r="D43" s="8" t="s">
        <v>46</v>
      </c>
      <c r="E43" s="8" t="s">
        <v>46</v>
      </c>
      <c r="F43" s="8" t="s">
        <v>46</v>
      </c>
      <c r="G43" s="8" t="s">
        <v>46</v>
      </c>
      <c r="H43" s="8" t="s">
        <v>46</v>
      </c>
      <c r="I43" s="8" t="s">
        <v>46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 t="s">
        <v>46</v>
      </c>
      <c r="R43" s="8" t="s">
        <v>46</v>
      </c>
      <c r="S43" s="8" t="s">
        <v>46</v>
      </c>
      <c r="T43" s="8" t="s">
        <v>46</v>
      </c>
      <c r="U43" s="8" t="s">
        <v>46</v>
      </c>
      <c r="V43" s="8" t="s">
        <v>46</v>
      </c>
    </row>
    <row r="44" spans="1:22" x14ac:dyDescent="0.25">
      <c r="A44" t="s">
        <v>47</v>
      </c>
      <c r="B44">
        <v>0</v>
      </c>
      <c r="C44">
        <v>0</v>
      </c>
      <c r="D44">
        <f t="shared" ref="D44:D59" si="20">B44+C44</f>
        <v>0</v>
      </c>
      <c r="E44">
        <v>0</v>
      </c>
      <c r="F44">
        <v>5</v>
      </c>
      <c r="G44">
        <f t="shared" ref="G44:G59" si="21">E44+F44</f>
        <v>5</v>
      </c>
      <c r="H44">
        <v>0</v>
      </c>
      <c r="I44">
        <v>0</v>
      </c>
      <c r="J44">
        <f t="shared" ref="J44:J59" si="22">H44+I44</f>
        <v>0</v>
      </c>
      <c r="K44">
        <f t="shared" ref="K44:K59" si="23">E44 + H44</f>
        <v>0</v>
      </c>
      <c r="L44">
        <f t="shared" ref="L44:L59" si="24">F44 + I44</f>
        <v>5</v>
      </c>
      <c r="M44">
        <f t="shared" ref="M44:M59" si="25">K44 + L44</f>
        <v>5</v>
      </c>
      <c r="N44">
        <f>IF(K336&gt;0,ROUND((K44/K336) * 100, 4), "")</f>
        <v>0</v>
      </c>
      <c r="O44">
        <f>IF(L336&gt;0,ROUND((L44/L336) * 100, 4), "")</f>
        <v>5.5300000000000002E-2</v>
      </c>
      <c r="P44">
        <f>IF(M336&gt;0,ROUND((M44/M336) * 100, 4), "")</f>
        <v>1.44E-2</v>
      </c>
      <c r="Q44">
        <v>0</v>
      </c>
      <c r="R44">
        <v>5</v>
      </c>
      <c r="S44">
        <f t="shared" ref="S44:S59" si="26">Q44 + R44</f>
        <v>5</v>
      </c>
      <c r="T44">
        <f t="shared" ref="T44:T59" si="27">B44 + K44 - Q44</f>
        <v>0</v>
      </c>
      <c r="U44">
        <f t="shared" ref="U44:U59" si="28">C44 + L44 - R44</f>
        <v>0</v>
      </c>
      <c r="V44">
        <f t="shared" ref="V44:V59" si="29">T44 + U44</f>
        <v>0</v>
      </c>
    </row>
    <row r="45" spans="1:22" x14ac:dyDescent="0.25">
      <c r="A45" t="s">
        <v>48</v>
      </c>
      <c r="B45">
        <v>0</v>
      </c>
      <c r="C45">
        <v>0</v>
      </c>
      <c r="D45">
        <f t="shared" si="20"/>
        <v>0</v>
      </c>
      <c r="E45">
        <v>0</v>
      </c>
      <c r="F45">
        <v>0</v>
      </c>
      <c r="G45">
        <f t="shared" si="21"/>
        <v>0</v>
      </c>
      <c r="H45">
        <v>0</v>
      </c>
      <c r="I45">
        <v>0</v>
      </c>
      <c r="J45">
        <f t="shared" si="22"/>
        <v>0</v>
      </c>
      <c r="K45">
        <f t="shared" si="23"/>
        <v>0</v>
      </c>
      <c r="L45">
        <f t="shared" si="24"/>
        <v>0</v>
      </c>
      <c r="M45">
        <f t="shared" si="25"/>
        <v>0</v>
      </c>
      <c r="N45">
        <f>IF(K336&gt;0,ROUND((K45/K336) * 100, 4), "")</f>
        <v>0</v>
      </c>
      <c r="O45">
        <f>IF(L336&gt;0,ROUND((L45/L336) * 100, 4), "")</f>
        <v>0</v>
      </c>
      <c r="P45">
        <f>IF(M336&gt;0,ROUND((M45/M336) * 100, 4), "")</f>
        <v>0</v>
      </c>
      <c r="Q45">
        <v>0</v>
      </c>
      <c r="R45">
        <v>0</v>
      </c>
      <c r="S45">
        <f t="shared" si="26"/>
        <v>0</v>
      </c>
      <c r="T45">
        <f t="shared" si="27"/>
        <v>0</v>
      </c>
      <c r="U45">
        <f t="shared" si="28"/>
        <v>0</v>
      </c>
      <c r="V45">
        <f t="shared" si="29"/>
        <v>0</v>
      </c>
    </row>
    <row r="46" spans="1:22" x14ac:dyDescent="0.25">
      <c r="A46" t="s">
        <v>49</v>
      </c>
      <c r="B46">
        <v>0</v>
      </c>
      <c r="C46">
        <v>0</v>
      </c>
      <c r="D46">
        <f t="shared" si="20"/>
        <v>0</v>
      </c>
      <c r="E46">
        <v>0</v>
      </c>
      <c r="F46">
        <v>0</v>
      </c>
      <c r="G46">
        <f t="shared" si="21"/>
        <v>0</v>
      </c>
      <c r="H46">
        <v>0</v>
      </c>
      <c r="I46">
        <v>0</v>
      </c>
      <c r="J46">
        <f t="shared" si="22"/>
        <v>0</v>
      </c>
      <c r="K46">
        <f t="shared" si="23"/>
        <v>0</v>
      </c>
      <c r="L46">
        <f t="shared" si="24"/>
        <v>0</v>
      </c>
      <c r="M46">
        <f t="shared" si="25"/>
        <v>0</v>
      </c>
      <c r="N46">
        <f>IF(K336&gt;0,ROUND((K46/K336) * 100, 4), "")</f>
        <v>0</v>
      </c>
      <c r="O46">
        <f>IF(L336&gt;0,ROUND((L46/L336) * 100, 4), "")</f>
        <v>0</v>
      </c>
      <c r="P46">
        <f>IF(M336&gt;0,ROUND((M46/M336) * 100, 4), "")</f>
        <v>0</v>
      </c>
      <c r="Q46">
        <v>0</v>
      </c>
      <c r="R46">
        <v>0</v>
      </c>
      <c r="S46">
        <f t="shared" si="26"/>
        <v>0</v>
      </c>
      <c r="T46">
        <f t="shared" si="27"/>
        <v>0</v>
      </c>
      <c r="U46">
        <f t="shared" si="28"/>
        <v>0</v>
      </c>
      <c r="V46">
        <f t="shared" si="29"/>
        <v>0</v>
      </c>
    </row>
    <row r="47" spans="1:22" x14ac:dyDescent="0.25">
      <c r="A47" t="s">
        <v>50</v>
      </c>
      <c r="B47">
        <v>0</v>
      </c>
      <c r="C47">
        <v>2</v>
      </c>
      <c r="D47">
        <f t="shared" si="20"/>
        <v>2</v>
      </c>
      <c r="E47">
        <v>0</v>
      </c>
      <c r="F47">
        <v>4</v>
      </c>
      <c r="G47">
        <f t="shared" si="21"/>
        <v>4</v>
      </c>
      <c r="H47">
        <v>0</v>
      </c>
      <c r="I47">
        <v>0</v>
      </c>
      <c r="J47">
        <f t="shared" si="22"/>
        <v>0</v>
      </c>
      <c r="K47">
        <f t="shared" si="23"/>
        <v>0</v>
      </c>
      <c r="L47">
        <f t="shared" si="24"/>
        <v>4</v>
      </c>
      <c r="M47">
        <f t="shared" si="25"/>
        <v>4</v>
      </c>
      <c r="N47">
        <f>IF(K336&gt;0,ROUND((K47/K336) * 100, 4), "")</f>
        <v>0</v>
      </c>
      <c r="O47">
        <f>IF(L336&gt;0,ROUND((L47/L336) * 100, 4), "")</f>
        <v>4.4200000000000003E-2</v>
      </c>
      <c r="P47">
        <f>IF(M336&gt;0,ROUND((M47/M336) * 100, 4), "")</f>
        <v>1.15E-2</v>
      </c>
      <c r="Q47">
        <v>0</v>
      </c>
      <c r="R47">
        <v>6</v>
      </c>
      <c r="S47">
        <f t="shared" si="26"/>
        <v>6</v>
      </c>
      <c r="T47">
        <f t="shared" si="27"/>
        <v>0</v>
      </c>
      <c r="U47">
        <f t="shared" si="28"/>
        <v>0</v>
      </c>
      <c r="V47">
        <f t="shared" si="29"/>
        <v>0</v>
      </c>
    </row>
    <row r="48" spans="1:22" x14ac:dyDescent="0.25">
      <c r="A48" t="s">
        <v>51</v>
      </c>
      <c r="B48">
        <v>0</v>
      </c>
      <c r="C48">
        <v>8</v>
      </c>
      <c r="D48">
        <f t="shared" si="20"/>
        <v>8</v>
      </c>
      <c r="E48">
        <v>0</v>
      </c>
      <c r="F48">
        <v>33</v>
      </c>
      <c r="G48">
        <f t="shared" si="21"/>
        <v>33</v>
      </c>
      <c r="H48">
        <v>1</v>
      </c>
      <c r="I48">
        <v>1</v>
      </c>
      <c r="J48">
        <f t="shared" si="22"/>
        <v>2</v>
      </c>
      <c r="K48">
        <f t="shared" si="23"/>
        <v>1</v>
      </c>
      <c r="L48">
        <f t="shared" si="24"/>
        <v>34</v>
      </c>
      <c r="M48">
        <f t="shared" si="25"/>
        <v>35</v>
      </c>
      <c r="N48">
        <f>IF(K336&gt;0,ROUND((K48/K336) * 100, 4), "")</f>
        <v>3.8999999999999998E-3</v>
      </c>
      <c r="O48">
        <f>IF(L336&gt;0,ROUND((L48/L336) * 100, 4), "")</f>
        <v>0.376</v>
      </c>
      <c r="P48">
        <f>IF(M336&gt;0,ROUND((M48/M336) * 100, 4), "")</f>
        <v>0.10050000000000001</v>
      </c>
      <c r="Q48">
        <v>0</v>
      </c>
      <c r="R48">
        <v>32</v>
      </c>
      <c r="S48">
        <f t="shared" si="26"/>
        <v>32</v>
      </c>
      <c r="T48">
        <f t="shared" si="27"/>
        <v>1</v>
      </c>
      <c r="U48">
        <f t="shared" si="28"/>
        <v>10</v>
      </c>
      <c r="V48">
        <f t="shared" si="29"/>
        <v>11</v>
      </c>
    </row>
    <row r="49" spans="1:22" x14ac:dyDescent="0.25">
      <c r="A49" t="s">
        <v>52</v>
      </c>
      <c r="B49">
        <v>0</v>
      </c>
      <c r="C49">
        <v>0</v>
      </c>
      <c r="D49">
        <f t="shared" si="20"/>
        <v>0</v>
      </c>
      <c r="E49">
        <v>0</v>
      </c>
      <c r="F49">
        <v>3</v>
      </c>
      <c r="G49">
        <f t="shared" si="21"/>
        <v>3</v>
      </c>
      <c r="H49">
        <v>0</v>
      </c>
      <c r="I49">
        <v>0</v>
      </c>
      <c r="J49">
        <f t="shared" si="22"/>
        <v>0</v>
      </c>
      <c r="K49">
        <f t="shared" si="23"/>
        <v>0</v>
      </c>
      <c r="L49">
        <f t="shared" si="24"/>
        <v>3</v>
      </c>
      <c r="M49">
        <f t="shared" si="25"/>
        <v>3</v>
      </c>
      <c r="N49">
        <f>IF(K336&gt;0,ROUND((K49/K336) * 100, 4), "")</f>
        <v>0</v>
      </c>
      <c r="O49">
        <f>IF(L336&gt;0,ROUND((L49/L336) * 100, 4), "")</f>
        <v>3.32E-2</v>
      </c>
      <c r="P49">
        <f>IF(M336&gt;0,ROUND((M49/M336) * 100, 4), "")</f>
        <v>8.6E-3</v>
      </c>
      <c r="Q49">
        <v>0</v>
      </c>
      <c r="R49">
        <v>3</v>
      </c>
      <c r="S49">
        <f t="shared" si="26"/>
        <v>3</v>
      </c>
      <c r="T49">
        <f t="shared" si="27"/>
        <v>0</v>
      </c>
      <c r="U49">
        <f t="shared" si="28"/>
        <v>0</v>
      </c>
      <c r="V49">
        <f t="shared" si="29"/>
        <v>0</v>
      </c>
    </row>
    <row r="50" spans="1:22" x14ac:dyDescent="0.25">
      <c r="A50" t="s">
        <v>53</v>
      </c>
      <c r="B50">
        <v>0</v>
      </c>
      <c r="C50">
        <v>3</v>
      </c>
      <c r="D50">
        <f t="shared" si="20"/>
        <v>3</v>
      </c>
      <c r="E50">
        <v>5</v>
      </c>
      <c r="F50">
        <v>26</v>
      </c>
      <c r="G50">
        <f t="shared" si="21"/>
        <v>31</v>
      </c>
      <c r="H50">
        <v>0</v>
      </c>
      <c r="I50">
        <v>1</v>
      </c>
      <c r="J50">
        <f t="shared" si="22"/>
        <v>1</v>
      </c>
      <c r="K50">
        <f t="shared" si="23"/>
        <v>5</v>
      </c>
      <c r="L50">
        <f t="shared" si="24"/>
        <v>27</v>
      </c>
      <c r="M50">
        <f t="shared" si="25"/>
        <v>32</v>
      </c>
      <c r="N50">
        <f>IF(K336&gt;0,ROUND((K50/K336) * 100, 4), "")</f>
        <v>1.9400000000000001E-2</v>
      </c>
      <c r="O50">
        <f>IF(L336&gt;0,ROUND((L50/L336) * 100, 4), "")</f>
        <v>0.29859999999999998</v>
      </c>
      <c r="P50">
        <f>IF(M336&gt;0,ROUND((M50/M336) * 100, 4), "")</f>
        <v>9.1899999999999996E-2</v>
      </c>
      <c r="Q50">
        <v>5</v>
      </c>
      <c r="R50">
        <v>20</v>
      </c>
      <c r="S50">
        <f t="shared" si="26"/>
        <v>25</v>
      </c>
      <c r="T50">
        <f t="shared" si="27"/>
        <v>0</v>
      </c>
      <c r="U50">
        <f t="shared" si="28"/>
        <v>10</v>
      </c>
      <c r="V50">
        <f t="shared" si="29"/>
        <v>10</v>
      </c>
    </row>
    <row r="51" spans="1:22" x14ac:dyDescent="0.25">
      <c r="A51" t="s">
        <v>54</v>
      </c>
      <c r="B51">
        <v>0</v>
      </c>
      <c r="C51">
        <v>3</v>
      </c>
      <c r="D51">
        <f t="shared" si="20"/>
        <v>3</v>
      </c>
      <c r="E51">
        <v>1</v>
      </c>
      <c r="F51">
        <v>4</v>
      </c>
      <c r="G51">
        <f t="shared" si="21"/>
        <v>5</v>
      </c>
      <c r="H51">
        <v>0</v>
      </c>
      <c r="I51">
        <v>0</v>
      </c>
      <c r="J51">
        <f t="shared" si="22"/>
        <v>0</v>
      </c>
      <c r="K51">
        <f t="shared" si="23"/>
        <v>1</v>
      </c>
      <c r="L51">
        <f t="shared" si="24"/>
        <v>4</v>
      </c>
      <c r="M51">
        <f t="shared" si="25"/>
        <v>5</v>
      </c>
      <c r="N51">
        <f>IF(K336&gt;0,ROUND((K51/K336) * 100, 4), "")</f>
        <v>3.8999999999999998E-3</v>
      </c>
      <c r="O51">
        <f>IF(L336&gt;0,ROUND((L51/L336) * 100, 4), "")</f>
        <v>4.4200000000000003E-2</v>
      </c>
      <c r="P51">
        <f>IF(M336&gt;0,ROUND((M51/M336) * 100, 4), "")</f>
        <v>1.44E-2</v>
      </c>
      <c r="Q51">
        <v>1</v>
      </c>
      <c r="R51">
        <v>6</v>
      </c>
      <c r="S51">
        <f t="shared" si="26"/>
        <v>7</v>
      </c>
      <c r="T51">
        <f t="shared" si="27"/>
        <v>0</v>
      </c>
      <c r="U51">
        <f t="shared" si="28"/>
        <v>1</v>
      </c>
      <c r="V51">
        <f t="shared" si="29"/>
        <v>1</v>
      </c>
    </row>
    <row r="52" spans="1:22" x14ac:dyDescent="0.25">
      <c r="A52" t="s">
        <v>55</v>
      </c>
      <c r="B52">
        <v>0</v>
      </c>
      <c r="C52">
        <v>43</v>
      </c>
      <c r="D52">
        <f t="shared" si="20"/>
        <v>43</v>
      </c>
      <c r="E52">
        <v>36</v>
      </c>
      <c r="F52">
        <v>356</v>
      </c>
      <c r="G52">
        <f t="shared" si="21"/>
        <v>392</v>
      </c>
      <c r="H52">
        <v>0</v>
      </c>
      <c r="I52">
        <v>7</v>
      </c>
      <c r="J52">
        <f t="shared" si="22"/>
        <v>7</v>
      </c>
      <c r="K52">
        <f t="shared" si="23"/>
        <v>36</v>
      </c>
      <c r="L52">
        <f t="shared" si="24"/>
        <v>363</v>
      </c>
      <c r="M52">
        <f t="shared" si="25"/>
        <v>399</v>
      </c>
      <c r="N52">
        <f>IF(K336&gt;0,ROUND((K52/K336) * 100, 4), "")</f>
        <v>0.13969999999999999</v>
      </c>
      <c r="O52">
        <f>IF(L336&gt;0,ROUND((L52/L336) * 100, 4), "")</f>
        <v>4.0145999999999997</v>
      </c>
      <c r="P52">
        <f>IF(M336&gt;0,ROUND((M52/M336) * 100, 4), "")</f>
        <v>1.1462000000000001</v>
      </c>
      <c r="Q52">
        <v>29</v>
      </c>
      <c r="R52">
        <v>340</v>
      </c>
      <c r="S52">
        <f t="shared" si="26"/>
        <v>369</v>
      </c>
      <c r="T52">
        <f t="shared" si="27"/>
        <v>7</v>
      </c>
      <c r="U52">
        <f t="shared" si="28"/>
        <v>66</v>
      </c>
      <c r="V52">
        <f t="shared" si="29"/>
        <v>73</v>
      </c>
    </row>
    <row r="53" spans="1:22" x14ac:dyDescent="0.25">
      <c r="A53" t="s">
        <v>56</v>
      </c>
      <c r="B53">
        <v>0</v>
      </c>
      <c r="C53">
        <v>0</v>
      </c>
      <c r="D53">
        <f t="shared" si="20"/>
        <v>0</v>
      </c>
      <c r="E53">
        <v>0</v>
      </c>
      <c r="F53">
        <v>2</v>
      </c>
      <c r="G53">
        <f t="shared" si="21"/>
        <v>2</v>
      </c>
      <c r="H53">
        <v>0</v>
      </c>
      <c r="I53">
        <v>0</v>
      </c>
      <c r="J53">
        <f t="shared" si="22"/>
        <v>0</v>
      </c>
      <c r="K53">
        <f t="shared" si="23"/>
        <v>0</v>
      </c>
      <c r="L53">
        <f t="shared" si="24"/>
        <v>2</v>
      </c>
      <c r="M53">
        <f t="shared" si="25"/>
        <v>2</v>
      </c>
      <c r="N53">
        <f>IF(K336&gt;0,ROUND((K53/K336) * 100, 4), "")</f>
        <v>0</v>
      </c>
      <c r="O53">
        <f>IF(L336&gt;0,ROUND((L53/L336) * 100, 4), "")</f>
        <v>2.2100000000000002E-2</v>
      </c>
      <c r="P53">
        <f>IF(M336&gt;0,ROUND((M53/M336) * 100, 4), "")</f>
        <v>5.7000000000000002E-3</v>
      </c>
      <c r="Q53">
        <v>0</v>
      </c>
      <c r="R53">
        <v>2</v>
      </c>
      <c r="S53">
        <f t="shared" si="26"/>
        <v>2</v>
      </c>
      <c r="T53">
        <f t="shared" si="27"/>
        <v>0</v>
      </c>
      <c r="U53">
        <f t="shared" si="28"/>
        <v>0</v>
      </c>
      <c r="V53">
        <f t="shared" si="29"/>
        <v>0</v>
      </c>
    </row>
    <row r="54" spans="1:22" x14ac:dyDescent="0.25">
      <c r="A54" t="s">
        <v>57</v>
      </c>
      <c r="B54">
        <v>1</v>
      </c>
      <c r="C54">
        <v>1</v>
      </c>
      <c r="D54">
        <f t="shared" si="20"/>
        <v>2</v>
      </c>
      <c r="E54">
        <v>9</v>
      </c>
      <c r="F54">
        <v>5</v>
      </c>
      <c r="G54">
        <f t="shared" si="21"/>
        <v>14</v>
      </c>
      <c r="H54">
        <v>0</v>
      </c>
      <c r="I54">
        <v>0</v>
      </c>
      <c r="J54">
        <f t="shared" si="22"/>
        <v>0</v>
      </c>
      <c r="K54">
        <f t="shared" si="23"/>
        <v>9</v>
      </c>
      <c r="L54">
        <f t="shared" si="24"/>
        <v>5</v>
      </c>
      <c r="M54">
        <f t="shared" si="25"/>
        <v>14</v>
      </c>
      <c r="N54">
        <f>IF(K336&gt;0,ROUND((K54/K336) * 100, 4), "")</f>
        <v>3.49E-2</v>
      </c>
      <c r="O54">
        <f>IF(L336&gt;0,ROUND((L54/L336) * 100, 4), "")</f>
        <v>5.5300000000000002E-2</v>
      </c>
      <c r="P54">
        <f>IF(M336&gt;0,ROUND((M54/M336) * 100, 4), "")</f>
        <v>4.02E-2</v>
      </c>
      <c r="Q54">
        <v>8</v>
      </c>
      <c r="R54">
        <v>6</v>
      </c>
      <c r="S54">
        <f t="shared" si="26"/>
        <v>14</v>
      </c>
      <c r="T54">
        <f t="shared" si="27"/>
        <v>2</v>
      </c>
      <c r="U54">
        <f t="shared" si="28"/>
        <v>0</v>
      </c>
      <c r="V54">
        <f t="shared" si="29"/>
        <v>2</v>
      </c>
    </row>
    <row r="55" spans="1:22" x14ac:dyDescent="0.25">
      <c r="A55" t="s">
        <v>58</v>
      </c>
      <c r="B55">
        <v>0</v>
      </c>
      <c r="C55">
        <v>0</v>
      </c>
      <c r="D55">
        <f t="shared" si="20"/>
        <v>0</v>
      </c>
      <c r="E55">
        <v>0</v>
      </c>
      <c r="F55">
        <v>1</v>
      </c>
      <c r="G55">
        <f t="shared" si="21"/>
        <v>1</v>
      </c>
      <c r="H55">
        <v>0</v>
      </c>
      <c r="I55">
        <v>1</v>
      </c>
      <c r="J55">
        <f t="shared" si="22"/>
        <v>1</v>
      </c>
      <c r="K55">
        <f t="shared" si="23"/>
        <v>0</v>
      </c>
      <c r="L55">
        <f t="shared" si="24"/>
        <v>2</v>
      </c>
      <c r="M55">
        <f t="shared" si="25"/>
        <v>2</v>
      </c>
      <c r="N55">
        <f>IF(K336&gt;0,ROUND((K55/K336) * 100, 4), "")</f>
        <v>0</v>
      </c>
      <c r="O55">
        <f>IF(L336&gt;0,ROUND((L55/L336) * 100, 4), "")</f>
        <v>2.2100000000000002E-2</v>
      </c>
      <c r="P55">
        <f>IF(M336&gt;0,ROUND((M55/M336) * 100, 4), "")</f>
        <v>5.7000000000000002E-3</v>
      </c>
      <c r="Q55">
        <v>0</v>
      </c>
      <c r="R55">
        <v>2</v>
      </c>
      <c r="S55">
        <f t="shared" si="26"/>
        <v>2</v>
      </c>
      <c r="T55">
        <f t="shared" si="27"/>
        <v>0</v>
      </c>
      <c r="U55">
        <f t="shared" si="28"/>
        <v>0</v>
      </c>
      <c r="V55">
        <f t="shared" si="29"/>
        <v>0</v>
      </c>
    </row>
    <row r="56" spans="1:22" x14ac:dyDescent="0.25">
      <c r="A56" t="s">
        <v>59</v>
      </c>
      <c r="B56">
        <v>0</v>
      </c>
      <c r="C56">
        <v>6</v>
      </c>
      <c r="D56">
        <f t="shared" si="20"/>
        <v>6</v>
      </c>
      <c r="E56">
        <v>0</v>
      </c>
      <c r="F56">
        <v>18</v>
      </c>
      <c r="G56">
        <f t="shared" si="21"/>
        <v>18</v>
      </c>
      <c r="H56">
        <v>0</v>
      </c>
      <c r="I56">
        <v>0</v>
      </c>
      <c r="J56">
        <f t="shared" si="22"/>
        <v>0</v>
      </c>
      <c r="K56">
        <f t="shared" si="23"/>
        <v>0</v>
      </c>
      <c r="L56">
        <f t="shared" si="24"/>
        <v>18</v>
      </c>
      <c r="M56">
        <f t="shared" si="25"/>
        <v>18</v>
      </c>
      <c r="N56">
        <f>IF(K336&gt;0,ROUND((K56/K336) * 100, 4), "")</f>
        <v>0</v>
      </c>
      <c r="O56">
        <f>IF(L336&gt;0,ROUND((L56/L336) * 100, 4), "")</f>
        <v>0.1991</v>
      </c>
      <c r="P56">
        <f>IF(M336&gt;0,ROUND((M56/M336) * 100, 4), "")</f>
        <v>5.1700000000000003E-2</v>
      </c>
      <c r="Q56">
        <v>0</v>
      </c>
      <c r="R56">
        <v>20</v>
      </c>
      <c r="S56">
        <f t="shared" si="26"/>
        <v>20</v>
      </c>
      <c r="T56">
        <f t="shared" si="27"/>
        <v>0</v>
      </c>
      <c r="U56">
        <f t="shared" si="28"/>
        <v>4</v>
      </c>
      <c r="V56">
        <f t="shared" si="29"/>
        <v>4</v>
      </c>
    </row>
    <row r="57" spans="1:22" x14ac:dyDescent="0.25">
      <c r="A57" t="s">
        <v>60</v>
      </c>
      <c r="B57">
        <v>0</v>
      </c>
      <c r="C57">
        <v>12</v>
      </c>
      <c r="D57">
        <f t="shared" si="20"/>
        <v>12</v>
      </c>
      <c r="E57">
        <v>0</v>
      </c>
      <c r="F57">
        <v>30</v>
      </c>
      <c r="G57">
        <f t="shared" si="21"/>
        <v>30</v>
      </c>
      <c r="H57">
        <v>0</v>
      </c>
      <c r="I57">
        <v>0</v>
      </c>
      <c r="J57">
        <f t="shared" si="22"/>
        <v>0</v>
      </c>
      <c r="K57">
        <f t="shared" si="23"/>
        <v>0</v>
      </c>
      <c r="L57">
        <f t="shared" si="24"/>
        <v>30</v>
      </c>
      <c r="M57">
        <f t="shared" si="25"/>
        <v>30</v>
      </c>
      <c r="N57">
        <f>IF(K336&gt;0,ROUND((K57/K336) * 100, 4), "")</f>
        <v>0</v>
      </c>
      <c r="O57">
        <f>IF(L336&gt;0,ROUND((L57/L336) * 100, 4), "")</f>
        <v>0.33179999999999998</v>
      </c>
      <c r="P57">
        <f>IF(M336&gt;0,ROUND((M57/M336) * 100, 4), "")</f>
        <v>8.6199999999999999E-2</v>
      </c>
      <c r="Q57">
        <v>0</v>
      </c>
      <c r="R57">
        <v>34</v>
      </c>
      <c r="S57">
        <f t="shared" si="26"/>
        <v>34</v>
      </c>
      <c r="T57">
        <f t="shared" si="27"/>
        <v>0</v>
      </c>
      <c r="U57">
        <f t="shared" si="28"/>
        <v>8</v>
      </c>
      <c r="V57">
        <f t="shared" si="29"/>
        <v>8</v>
      </c>
    </row>
    <row r="58" spans="1:22" x14ac:dyDescent="0.25">
      <c r="A58" t="s">
        <v>61</v>
      </c>
      <c r="B58">
        <v>0</v>
      </c>
      <c r="C58">
        <v>1</v>
      </c>
      <c r="D58">
        <f t="shared" si="20"/>
        <v>1</v>
      </c>
      <c r="E58">
        <v>0</v>
      </c>
      <c r="F58">
        <v>4</v>
      </c>
      <c r="G58">
        <f t="shared" si="21"/>
        <v>4</v>
      </c>
      <c r="H58">
        <v>0</v>
      </c>
      <c r="I58">
        <v>0</v>
      </c>
      <c r="J58">
        <f t="shared" si="22"/>
        <v>0</v>
      </c>
      <c r="K58">
        <f t="shared" si="23"/>
        <v>0</v>
      </c>
      <c r="L58">
        <f t="shared" si="24"/>
        <v>4</v>
      </c>
      <c r="M58">
        <f t="shared" si="25"/>
        <v>4</v>
      </c>
      <c r="N58">
        <f>IF(K336&gt;0,ROUND((K58/K336) * 100, 4), "")</f>
        <v>0</v>
      </c>
      <c r="O58">
        <f>IF(L336&gt;0,ROUND((L58/L336) * 100, 4), "")</f>
        <v>4.4200000000000003E-2</v>
      </c>
      <c r="P58">
        <f>IF(M336&gt;0,ROUND((M58/M336) * 100, 4), "")</f>
        <v>1.15E-2</v>
      </c>
      <c r="Q58">
        <v>0</v>
      </c>
      <c r="R58">
        <v>5</v>
      </c>
      <c r="S58">
        <f t="shared" si="26"/>
        <v>5</v>
      </c>
      <c r="T58">
        <f t="shared" si="27"/>
        <v>0</v>
      </c>
      <c r="U58">
        <f t="shared" si="28"/>
        <v>0</v>
      </c>
      <c r="V58">
        <f t="shared" si="29"/>
        <v>0</v>
      </c>
    </row>
    <row r="59" spans="1:22" x14ac:dyDescent="0.25">
      <c r="A59" t="s">
        <v>62</v>
      </c>
      <c r="B59">
        <v>0</v>
      </c>
      <c r="C59">
        <v>0</v>
      </c>
      <c r="D59">
        <f t="shared" si="20"/>
        <v>0</v>
      </c>
      <c r="E59">
        <v>0</v>
      </c>
      <c r="F59">
        <v>0</v>
      </c>
      <c r="G59">
        <f t="shared" si="21"/>
        <v>0</v>
      </c>
      <c r="H59">
        <v>0</v>
      </c>
      <c r="I59">
        <v>0</v>
      </c>
      <c r="J59">
        <f t="shared" si="22"/>
        <v>0</v>
      </c>
      <c r="K59">
        <f t="shared" si="23"/>
        <v>0</v>
      </c>
      <c r="L59">
        <f t="shared" si="24"/>
        <v>0</v>
      </c>
      <c r="M59">
        <f t="shared" si="25"/>
        <v>0</v>
      </c>
      <c r="N59">
        <f>IF(K336&gt;0,ROUND((K59/K336) * 100, 4), "")</f>
        <v>0</v>
      </c>
      <c r="O59">
        <f>IF(L336&gt;0,ROUND((L59/L336) * 100, 4), "")</f>
        <v>0</v>
      </c>
      <c r="P59">
        <f>IF(M336&gt;0,ROUND((M59/M336) * 100, 4), "")</f>
        <v>0</v>
      </c>
      <c r="Q59">
        <v>0</v>
      </c>
      <c r="R59">
        <v>0</v>
      </c>
      <c r="S59">
        <f t="shared" si="26"/>
        <v>0</v>
      </c>
      <c r="T59">
        <f t="shared" si="27"/>
        <v>0</v>
      </c>
      <c r="U59">
        <f t="shared" si="28"/>
        <v>0</v>
      </c>
      <c r="V59">
        <f t="shared" si="29"/>
        <v>0</v>
      </c>
    </row>
    <row r="61" spans="1:22" x14ac:dyDescent="0.25">
      <c r="A61" s="8" t="s">
        <v>63</v>
      </c>
      <c r="B61" s="8" t="s">
        <v>63</v>
      </c>
      <c r="C61" s="8" t="s">
        <v>63</v>
      </c>
      <c r="D61" s="8" t="s">
        <v>63</v>
      </c>
      <c r="E61" s="8" t="s">
        <v>63</v>
      </c>
      <c r="F61" s="8" t="s">
        <v>63</v>
      </c>
      <c r="G61" s="8" t="s">
        <v>63</v>
      </c>
      <c r="H61" s="8" t="s">
        <v>63</v>
      </c>
      <c r="I61" s="8" t="s">
        <v>63</v>
      </c>
      <c r="J61" s="8" t="s">
        <v>63</v>
      </c>
      <c r="K61" s="8" t="s">
        <v>63</v>
      </c>
      <c r="L61" s="8" t="s">
        <v>63</v>
      </c>
      <c r="M61" s="8" t="s">
        <v>63</v>
      </c>
      <c r="N61" s="8" t="s">
        <v>63</v>
      </c>
      <c r="O61" s="8" t="s">
        <v>63</v>
      </c>
      <c r="P61" s="8" t="s">
        <v>63</v>
      </c>
      <c r="Q61" s="8" t="s">
        <v>63</v>
      </c>
      <c r="R61" s="8" t="s">
        <v>63</v>
      </c>
      <c r="S61" s="8" t="s">
        <v>63</v>
      </c>
      <c r="T61" s="8" t="s">
        <v>63</v>
      </c>
      <c r="U61" s="8" t="s">
        <v>63</v>
      </c>
      <c r="V61" s="8" t="s">
        <v>63</v>
      </c>
    </row>
    <row r="62" spans="1:22" x14ac:dyDescent="0.25">
      <c r="A62" t="s">
        <v>64</v>
      </c>
      <c r="B62">
        <v>0</v>
      </c>
      <c r="C62">
        <v>0</v>
      </c>
      <c r="D62">
        <f t="shared" ref="D62:D85" si="30">B62+C62</f>
        <v>0</v>
      </c>
      <c r="E62">
        <v>1</v>
      </c>
      <c r="F62">
        <v>0</v>
      </c>
      <c r="G62">
        <f t="shared" ref="G62:G85" si="31">E62+F62</f>
        <v>1</v>
      </c>
      <c r="H62">
        <v>0</v>
      </c>
      <c r="I62">
        <v>0</v>
      </c>
      <c r="J62">
        <f t="shared" ref="J62:J85" si="32">H62+I62</f>
        <v>0</v>
      </c>
      <c r="K62">
        <f t="shared" ref="K62:K85" si="33">E62 + H62</f>
        <v>1</v>
      </c>
      <c r="L62">
        <f t="shared" ref="L62:L85" si="34">F62 + I62</f>
        <v>0</v>
      </c>
      <c r="M62">
        <f t="shared" ref="M62:M85" si="35">K62 + L62</f>
        <v>1</v>
      </c>
      <c r="N62">
        <f>IF(K336&gt;0,ROUND((K62/K336) * 100, 4), "")</f>
        <v>3.8999999999999998E-3</v>
      </c>
      <c r="O62">
        <f>IF(L336&gt;0,ROUND((L62/L336) * 100, 4), "")</f>
        <v>0</v>
      </c>
      <c r="P62">
        <f>IF(M336&gt;0,ROUND((M62/M336) * 100, 4), "")</f>
        <v>2.8999999999999998E-3</v>
      </c>
      <c r="Q62">
        <v>1</v>
      </c>
      <c r="R62">
        <v>0</v>
      </c>
      <c r="S62">
        <f t="shared" ref="S62:S85" si="36">Q62 + R62</f>
        <v>1</v>
      </c>
      <c r="T62">
        <f t="shared" ref="T62:T85" si="37">B62 + K62 - Q62</f>
        <v>0</v>
      </c>
      <c r="U62">
        <f t="shared" ref="U62:U85" si="38">C62 + L62 - R62</f>
        <v>0</v>
      </c>
      <c r="V62">
        <f t="shared" ref="V62:V85" si="39">T62 + U62</f>
        <v>0</v>
      </c>
    </row>
    <row r="63" spans="1:22" x14ac:dyDescent="0.25">
      <c r="A63" t="s">
        <v>65</v>
      </c>
      <c r="B63">
        <v>0</v>
      </c>
      <c r="C63">
        <v>0</v>
      </c>
      <c r="D63">
        <f t="shared" si="30"/>
        <v>0</v>
      </c>
      <c r="E63">
        <v>0</v>
      </c>
      <c r="F63">
        <v>0</v>
      </c>
      <c r="G63">
        <f t="shared" si="31"/>
        <v>0</v>
      </c>
      <c r="H63">
        <v>0</v>
      </c>
      <c r="I63">
        <v>0</v>
      </c>
      <c r="J63">
        <f t="shared" si="32"/>
        <v>0</v>
      </c>
      <c r="K63">
        <f t="shared" si="33"/>
        <v>0</v>
      </c>
      <c r="L63">
        <f t="shared" si="34"/>
        <v>0</v>
      </c>
      <c r="M63">
        <f t="shared" si="35"/>
        <v>0</v>
      </c>
      <c r="N63">
        <f>IF(K336&gt;0,ROUND((K63/K336) * 100, 4), "")</f>
        <v>0</v>
      </c>
      <c r="O63">
        <f>IF(L336&gt;0,ROUND((L63/L336) * 100, 4), "")</f>
        <v>0</v>
      </c>
      <c r="P63">
        <f>IF(M336&gt;0,ROUND((M63/M336) * 100, 4), "")</f>
        <v>0</v>
      </c>
      <c r="Q63">
        <v>0</v>
      </c>
      <c r="R63">
        <v>0</v>
      </c>
      <c r="S63">
        <f t="shared" si="36"/>
        <v>0</v>
      </c>
      <c r="T63">
        <f t="shared" si="37"/>
        <v>0</v>
      </c>
      <c r="U63">
        <f t="shared" si="38"/>
        <v>0</v>
      </c>
      <c r="V63">
        <f t="shared" si="39"/>
        <v>0</v>
      </c>
    </row>
    <row r="64" spans="1:22" x14ac:dyDescent="0.25">
      <c r="A64" t="s">
        <v>66</v>
      </c>
      <c r="B64">
        <v>0</v>
      </c>
      <c r="C64">
        <v>0</v>
      </c>
      <c r="D64">
        <f t="shared" si="30"/>
        <v>0</v>
      </c>
      <c r="E64">
        <v>0</v>
      </c>
      <c r="F64">
        <v>0</v>
      </c>
      <c r="G64">
        <f t="shared" si="31"/>
        <v>0</v>
      </c>
      <c r="H64">
        <v>0</v>
      </c>
      <c r="I64">
        <v>0</v>
      </c>
      <c r="J64">
        <f t="shared" si="32"/>
        <v>0</v>
      </c>
      <c r="K64">
        <f t="shared" si="33"/>
        <v>0</v>
      </c>
      <c r="L64">
        <f t="shared" si="34"/>
        <v>0</v>
      </c>
      <c r="M64">
        <f t="shared" si="35"/>
        <v>0</v>
      </c>
      <c r="N64">
        <f>IF(K336&gt;0,ROUND((K64/K336) * 100, 4), "")</f>
        <v>0</v>
      </c>
      <c r="O64">
        <f>IF(L336&gt;0,ROUND((L64/L336) * 100, 4), "")</f>
        <v>0</v>
      </c>
      <c r="P64">
        <f>IF(M336&gt;0,ROUND((M64/M336) * 100, 4), "")</f>
        <v>0</v>
      </c>
      <c r="Q64">
        <v>0</v>
      </c>
      <c r="R64">
        <v>0</v>
      </c>
      <c r="S64">
        <f t="shared" si="36"/>
        <v>0</v>
      </c>
      <c r="T64">
        <f t="shared" si="37"/>
        <v>0</v>
      </c>
      <c r="U64">
        <f t="shared" si="38"/>
        <v>0</v>
      </c>
      <c r="V64">
        <f t="shared" si="39"/>
        <v>0</v>
      </c>
    </row>
    <row r="65" spans="1:22" x14ac:dyDescent="0.25">
      <c r="A65" t="s">
        <v>67</v>
      </c>
      <c r="B65">
        <v>0</v>
      </c>
      <c r="C65">
        <v>0</v>
      </c>
      <c r="D65">
        <f t="shared" si="30"/>
        <v>0</v>
      </c>
      <c r="E65">
        <v>0</v>
      </c>
      <c r="F65">
        <v>1</v>
      </c>
      <c r="G65">
        <f t="shared" si="31"/>
        <v>1</v>
      </c>
      <c r="H65">
        <v>0</v>
      </c>
      <c r="I65">
        <v>0</v>
      </c>
      <c r="J65">
        <f t="shared" si="32"/>
        <v>0</v>
      </c>
      <c r="K65">
        <f t="shared" si="33"/>
        <v>0</v>
      </c>
      <c r="L65">
        <f t="shared" si="34"/>
        <v>1</v>
      </c>
      <c r="M65">
        <f t="shared" si="35"/>
        <v>1</v>
      </c>
      <c r="N65">
        <f>IF(K336&gt;0,ROUND((K65/K336) * 100, 4), "")</f>
        <v>0</v>
      </c>
      <c r="O65">
        <f>IF(L336&gt;0,ROUND((L65/L336) * 100, 4), "")</f>
        <v>1.11E-2</v>
      </c>
      <c r="P65">
        <f>IF(M336&gt;0,ROUND((M65/M336) * 100, 4), "")</f>
        <v>2.8999999999999998E-3</v>
      </c>
      <c r="Q65">
        <v>0</v>
      </c>
      <c r="R65">
        <v>1</v>
      </c>
      <c r="S65">
        <f t="shared" si="36"/>
        <v>1</v>
      </c>
      <c r="T65">
        <f t="shared" si="37"/>
        <v>0</v>
      </c>
      <c r="U65">
        <f t="shared" si="38"/>
        <v>0</v>
      </c>
      <c r="V65">
        <f t="shared" si="39"/>
        <v>0</v>
      </c>
    </row>
    <row r="66" spans="1:22" x14ac:dyDescent="0.25">
      <c r="A66" t="s">
        <v>68</v>
      </c>
      <c r="B66">
        <v>0</v>
      </c>
      <c r="C66">
        <v>1</v>
      </c>
      <c r="D66">
        <f t="shared" si="30"/>
        <v>1</v>
      </c>
      <c r="E66">
        <v>1</v>
      </c>
      <c r="F66">
        <v>15</v>
      </c>
      <c r="G66">
        <f t="shared" si="31"/>
        <v>16</v>
      </c>
      <c r="H66">
        <v>0</v>
      </c>
      <c r="I66">
        <v>3</v>
      </c>
      <c r="J66">
        <f t="shared" si="32"/>
        <v>3</v>
      </c>
      <c r="K66">
        <f t="shared" si="33"/>
        <v>1</v>
      </c>
      <c r="L66">
        <f t="shared" si="34"/>
        <v>18</v>
      </c>
      <c r="M66">
        <f t="shared" si="35"/>
        <v>19</v>
      </c>
      <c r="N66">
        <f>IF(K336&gt;0,ROUND((K66/K336) * 100, 4), "")</f>
        <v>3.8999999999999998E-3</v>
      </c>
      <c r="O66">
        <f>IF(L336&gt;0,ROUND((L66/L336) * 100, 4), "")</f>
        <v>0.1991</v>
      </c>
      <c r="P66">
        <f>IF(M336&gt;0,ROUND((M66/M336) * 100, 4), "")</f>
        <v>5.4600000000000003E-2</v>
      </c>
      <c r="Q66">
        <v>0</v>
      </c>
      <c r="R66">
        <v>16</v>
      </c>
      <c r="S66">
        <f t="shared" si="36"/>
        <v>16</v>
      </c>
      <c r="T66">
        <f t="shared" si="37"/>
        <v>1</v>
      </c>
      <c r="U66">
        <f t="shared" si="38"/>
        <v>3</v>
      </c>
      <c r="V66">
        <f t="shared" si="39"/>
        <v>4</v>
      </c>
    </row>
    <row r="67" spans="1:22" x14ac:dyDescent="0.25">
      <c r="A67" t="s">
        <v>69</v>
      </c>
      <c r="B67">
        <v>2</v>
      </c>
      <c r="C67">
        <v>2</v>
      </c>
      <c r="D67">
        <f t="shared" si="30"/>
        <v>4</v>
      </c>
      <c r="E67">
        <v>0</v>
      </c>
      <c r="F67">
        <v>24</v>
      </c>
      <c r="G67">
        <f t="shared" si="31"/>
        <v>24</v>
      </c>
      <c r="H67">
        <v>0</v>
      </c>
      <c r="I67">
        <v>0</v>
      </c>
      <c r="J67">
        <f t="shared" si="32"/>
        <v>0</v>
      </c>
      <c r="K67">
        <f t="shared" si="33"/>
        <v>0</v>
      </c>
      <c r="L67">
        <f t="shared" si="34"/>
        <v>24</v>
      </c>
      <c r="M67">
        <f t="shared" si="35"/>
        <v>24</v>
      </c>
      <c r="N67">
        <f>IF(K336&gt;0,ROUND((K67/K336) * 100, 4), "")</f>
        <v>0</v>
      </c>
      <c r="O67">
        <f>IF(L336&gt;0,ROUND((L67/L336) * 100, 4), "")</f>
        <v>0.26540000000000002</v>
      </c>
      <c r="P67">
        <f>IF(M336&gt;0,ROUND((M67/M336) * 100, 4), "")</f>
        <v>6.8900000000000003E-2</v>
      </c>
      <c r="Q67">
        <v>2</v>
      </c>
      <c r="R67">
        <v>21</v>
      </c>
      <c r="S67">
        <f t="shared" si="36"/>
        <v>23</v>
      </c>
      <c r="T67">
        <f t="shared" si="37"/>
        <v>0</v>
      </c>
      <c r="U67">
        <f t="shared" si="38"/>
        <v>5</v>
      </c>
      <c r="V67">
        <f t="shared" si="39"/>
        <v>5</v>
      </c>
    </row>
    <row r="68" spans="1:22" x14ac:dyDescent="0.25">
      <c r="A68" t="s">
        <v>70</v>
      </c>
      <c r="B68">
        <v>0</v>
      </c>
      <c r="C68">
        <v>0</v>
      </c>
      <c r="D68">
        <f t="shared" si="30"/>
        <v>0</v>
      </c>
      <c r="E68">
        <v>0</v>
      </c>
      <c r="F68">
        <v>0</v>
      </c>
      <c r="G68">
        <f t="shared" si="31"/>
        <v>0</v>
      </c>
      <c r="H68">
        <v>0</v>
      </c>
      <c r="I68">
        <v>0</v>
      </c>
      <c r="J68">
        <f t="shared" si="32"/>
        <v>0</v>
      </c>
      <c r="K68">
        <f t="shared" si="33"/>
        <v>0</v>
      </c>
      <c r="L68">
        <f t="shared" si="34"/>
        <v>0</v>
      </c>
      <c r="M68">
        <f t="shared" si="35"/>
        <v>0</v>
      </c>
      <c r="N68">
        <f>IF(K336&gt;0,ROUND((K68/K336) * 100, 4), "")</f>
        <v>0</v>
      </c>
      <c r="O68">
        <f>IF(L336&gt;0,ROUND((L68/L336) * 100, 4), "")</f>
        <v>0</v>
      </c>
      <c r="P68">
        <f>IF(M336&gt;0,ROUND((M68/M336) * 100, 4), "")</f>
        <v>0</v>
      </c>
      <c r="Q68">
        <v>0</v>
      </c>
      <c r="R68">
        <v>0</v>
      </c>
      <c r="S68">
        <f t="shared" si="36"/>
        <v>0</v>
      </c>
      <c r="T68">
        <f t="shared" si="37"/>
        <v>0</v>
      </c>
      <c r="U68">
        <f t="shared" si="38"/>
        <v>0</v>
      </c>
      <c r="V68">
        <f t="shared" si="39"/>
        <v>0</v>
      </c>
    </row>
    <row r="69" spans="1:22" x14ac:dyDescent="0.25">
      <c r="A69" t="s">
        <v>71</v>
      </c>
      <c r="B69">
        <v>1</v>
      </c>
      <c r="C69">
        <v>2</v>
      </c>
      <c r="D69">
        <f t="shared" si="30"/>
        <v>3</v>
      </c>
      <c r="E69">
        <v>1</v>
      </c>
      <c r="F69">
        <v>13</v>
      </c>
      <c r="G69">
        <f t="shared" si="31"/>
        <v>14</v>
      </c>
      <c r="H69">
        <v>0</v>
      </c>
      <c r="I69">
        <v>4</v>
      </c>
      <c r="J69">
        <f t="shared" si="32"/>
        <v>4</v>
      </c>
      <c r="K69">
        <f t="shared" si="33"/>
        <v>1</v>
      </c>
      <c r="L69">
        <f t="shared" si="34"/>
        <v>17</v>
      </c>
      <c r="M69">
        <f t="shared" si="35"/>
        <v>18</v>
      </c>
      <c r="N69">
        <f>IF(K336&gt;0,ROUND((K69/K336) * 100, 4), "")</f>
        <v>3.8999999999999998E-3</v>
      </c>
      <c r="O69">
        <f>IF(L336&gt;0,ROUND((L69/L336) * 100, 4), "")</f>
        <v>0.188</v>
      </c>
      <c r="P69">
        <f>IF(M336&gt;0,ROUND((M69/M336) * 100, 4), "")</f>
        <v>5.1700000000000003E-2</v>
      </c>
      <c r="Q69">
        <v>2</v>
      </c>
      <c r="R69">
        <v>14</v>
      </c>
      <c r="S69">
        <f t="shared" si="36"/>
        <v>16</v>
      </c>
      <c r="T69">
        <f t="shared" si="37"/>
        <v>0</v>
      </c>
      <c r="U69">
        <f t="shared" si="38"/>
        <v>5</v>
      </c>
      <c r="V69">
        <f t="shared" si="39"/>
        <v>5</v>
      </c>
    </row>
    <row r="70" spans="1:22" x14ac:dyDescent="0.25">
      <c r="A70" t="s">
        <v>72</v>
      </c>
      <c r="B70">
        <v>29</v>
      </c>
      <c r="C70">
        <v>256</v>
      </c>
      <c r="D70">
        <f t="shared" si="30"/>
        <v>285</v>
      </c>
      <c r="E70">
        <v>410</v>
      </c>
      <c r="F70">
        <v>417</v>
      </c>
      <c r="G70">
        <f t="shared" si="31"/>
        <v>827</v>
      </c>
      <c r="H70">
        <v>4</v>
      </c>
      <c r="I70">
        <v>11</v>
      </c>
      <c r="J70">
        <f t="shared" si="32"/>
        <v>15</v>
      </c>
      <c r="K70">
        <f t="shared" si="33"/>
        <v>414</v>
      </c>
      <c r="L70">
        <f t="shared" si="34"/>
        <v>428</v>
      </c>
      <c r="M70">
        <f t="shared" si="35"/>
        <v>842</v>
      </c>
      <c r="N70">
        <f>IF(K336&gt;0,ROUND((K70/K336) * 100, 4), "")</f>
        <v>1.6066</v>
      </c>
      <c r="O70">
        <f>IF(L336&gt;0,ROUND((L70/L336) * 100, 4), "")</f>
        <v>4.7335000000000003</v>
      </c>
      <c r="P70">
        <f>IF(M336&gt;0,ROUND((M70/M336) * 100, 4), "")</f>
        <v>2.4188000000000001</v>
      </c>
      <c r="Q70">
        <v>392</v>
      </c>
      <c r="R70">
        <v>608</v>
      </c>
      <c r="S70">
        <f t="shared" si="36"/>
        <v>1000</v>
      </c>
      <c r="T70">
        <f t="shared" si="37"/>
        <v>51</v>
      </c>
      <c r="U70">
        <f t="shared" si="38"/>
        <v>76</v>
      </c>
      <c r="V70">
        <f t="shared" si="39"/>
        <v>127</v>
      </c>
    </row>
    <row r="71" spans="1:22" x14ac:dyDescent="0.25">
      <c r="A71" t="s">
        <v>73</v>
      </c>
      <c r="B71">
        <v>365</v>
      </c>
      <c r="C71">
        <v>111</v>
      </c>
      <c r="D71">
        <f t="shared" si="30"/>
        <v>476</v>
      </c>
      <c r="E71">
        <v>438</v>
      </c>
      <c r="F71">
        <v>176</v>
      </c>
      <c r="G71">
        <f t="shared" si="31"/>
        <v>614</v>
      </c>
      <c r="H71">
        <v>3</v>
      </c>
      <c r="I71">
        <v>4</v>
      </c>
      <c r="J71">
        <f t="shared" si="32"/>
        <v>7</v>
      </c>
      <c r="K71">
        <f t="shared" si="33"/>
        <v>441</v>
      </c>
      <c r="L71">
        <f t="shared" si="34"/>
        <v>180</v>
      </c>
      <c r="M71">
        <f t="shared" si="35"/>
        <v>621</v>
      </c>
      <c r="N71">
        <f>IF(K336&gt;0,ROUND((K71/K336) * 100, 4), "")</f>
        <v>1.7114</v>
      </c>
      <c r="O71">
        <f>IF(L336&gt;0,ROUND((L71/L336) * 100, 4), "")</f>
        <v>1.9906999999999999</v>
      </c>
      <c r="P71">
        <f>IF(M336&gt;0,ROUND((M71/M336) * 100, 4), "")</f>
        <v>1.784</v>
      </c>
      <c r="Q71">
        <v>362</v>
      </c>
      <c r="R71">
        <v>113</v>
      </c>
      <c r="S71">
        <f t="shared" si="36"/>
        <v>475</v>
      </c>
      <c r="T71">
        <f t="shared" si="37"/>
        <v>444</v>
      </c>
      <c r="U71">
        <f t="shared" si="38"/>
        <v>178</v>
      </c>
      <c r="V71">
        <f t="shared" si="39"/>
        <v>622</v>
      </c>
    </row>
    <row r="72" spans="1:22" x14ac:dyDescent="0.25">
      <c r="A72" t="s">
        <v>74</v>
      </c>
      <c r="B72">
        <v>0</v>
      </c>
      <c r="C72">
        <v>1</v>
      </c>
      <c r="D72">
        <f t="shared" si="30"/>
        <v>1</v>
      </c>
      <c r="E72">
        <v>3</v>
      </c>
      <c r="F72">
        <v>7</v>
      </c>
      <c r="G72">
        <f t="shared" si="31"/>
        <v>10</v>
      </c>
      <c r="H72">
        <v>0</v>
      </c>
      <c r="I72">
        <v>0</v>
      </c>
      <c r="J72">
        <f t="shared" si="32"/>
        <v>0</v>
      </c>
      <c r="K72">
        <f t="shared" si="33"/>
        <v>3</v>
      </c>
      <c r="L72">
        <f t="shared" si="34"/>
        <v>7</v>
      </c>
      <c r="M72">
        <f t="shared" si="35"/>
        <v>10</v>
      </c>
      <c r="N72">
        <f>IF(K336&gt;0,ROUND((K72/K336) * 100, 4), "")</f>
        <v>1.1599999999999999E-2</v>
      </c>
      <c r="O72">
        <f>IF(L336&gt;0,ROUND((L72/L336) * 100, 4), "")</f>
        <v>7.7399999999999997E-2</v>
      </c>
      <c r="P72">
        <f>IF(M336&gt;0,ROUND((M72/M336) * 100, 4), "")</f>
        <v>2.87E-2</v>
      </c>
      <c r="Q72">
        <v>3</v>
      </c>
      <c r="R72">
        <v>7</v>
      </c>
      <c r="S72">
        <f t="shared" si="36"/>
        <v>10</v>
      </c>
      <c r="T72">
        <f t="shared" si="37"/>
        <v>0</v>
      </c>
      <c r="U72">
        <f t="shared" si="38"/>
        <v>1</v>
      </c>
      <c r="V72">
        <f t="shared" si="39"/>
        <v>1</v>
      </c>
    </row>
    <row r="73" spans="1:22" x14ac:dyDescent="0.25">
      <c r="A73" t="s">
        <v>75</v>
      </c>
      <c r="B73">
        <v>0</v>
      </c>
      <c r="C73">
        <v>0</v>
      </c>
      <c r="D73">
        <f t="shared" si="30"/>
        <v>0</v>
      </c>
      <c r="E73">
        <v>0</v>
      </c>
      <c r="F73">
        <v>0</v>
      </c>
      <c r="G73">
        <f t="shared" si="31"/>
        <v>0</v>
      </c>
      <c r="H73">
        <v>0</v>
      </c>
      <c r="I73">
        <v>0</v>
      </c>
      <c r="J73">
        <f t="shared" si="32"/>
        <v>0</v>
      </c>
      <c r="K73">
        <f t="shared" si="33"/>
        <v>0</v>
      </c>
      <c r="L73">
        <f t="shared" si="34"/>
        <v>0</v>
      </c>
      <c r="M73">
        <f t="shared" si="35"/>
        <v>0</v>
      </c>
      <c r="N73">
        <f>IF(K336&gt;0,ROUND((K73/K336) * 100, 4), "")</f>
        <v>0</v>
      </c>
      <c r="O73">
        <f>IF(L336&gt;0,ROUND((L73/L336) * 100, 4), "")</f>
        <v>0</v>
      </c>
      <c r="P73">
        <f>IF(M336&gt;0,ROUND((M73/M336) * 100, 4), "")</f>
        <v>0</v>
      </c>
      <c r="Q73">
        <v>0</v>
      </c>
      <c r="R73">
        <v>0</v>
      </c>
      <c r="S73">
        <f t="shared" si="36"/>
        <v>0</v>
      </c>
      <c r="T73">
        <f t="shared" si="37"/>
        <v>0</v>
      </c>
      <c r="U73">
        <f t="shared" si="38"/>
        <v>0</v>
      </c>
      <c r="V73">
        <f t="shared" si="39"/>
        <v>0</v>
      </c>
    </row>
    <row r="74" spans="1:22" x14ac:dyDescent="0.25">
      <c r="A74" t="s">
        <v>76</v>
      </c>
      <c r="B74">
        <v>0</v>
      </c>
      <c r="C74">
        <v>0</v>
      </c>
      <c r="D74">
        <f t="shared" si="30"/>
        <v>0</v>
      </c>
      <c r="E74">
        <v>0</v>
      </c>
      <c r="F74">
        <v>0</v>
      </c>
      <c r="G74">
        <f t="shared" si="31"/>
        <v>0</v>
      </c>
      <c r="H74">
        <v>0</v>
      </c>
      <c r="I74">
        <v>0</v>
      </c>
      <c r="J74">
        <f t="shared" si="32"/>
        <v>0</v>
      </c>
      <c r="K74">
        <f t="shared" si="33"/>
        <v>0</v>
      </c>
      <c r="L74">
        <f t="shared" si="34"/>
        <v>0</v>
      </c>
      <c r="M74">
        <f t="shared" si="35"/>
        <v>0</v>
      </c>
      <c r="N74">
        <f>IF(K336&gt;0,ROUND((K74/K336) * 100, 4), "")</f>
        <v>0</v>
      </c>
      <c r="O74">
        <f>IF(L336&gt;0,ROUND((L74/L336) * 100, 4), "")</f>
        <v>0</v>
      </c>
      <c r="P74">
        <f>IF(M336&gt;0,ROUND((M74/M336) * 100, 4), "")</f>
        <v>0</v>
      </c>
      <c r="Q74">
        <v>0</v>
      </c>
      <c r="R74">
        <v>0</v>
      </c>
      <c r="S74">
        <f t="shared" si="36"/>
        <v>0</v>
      </c>
      <c r="T74">
        <f t="shared" si="37"/>
        <v>0</v>
      </c>
      <c r="U74">
        <f t="shared" si="38"/>
        <v>0</v>
      </c>
      <c r="V74">
        <f t="shared" si="39"/>
        <v>0</v>
      </c>
    </row>
    <row r="75" spans="1:22" x14ac:dyDescent="0.25">
      <c r="A75" t="s">
        <v>77</v>
      </c>
      <c r="B75">
        <v>0</v>
      </c>
      <c r="C75">
        <v>0</v>
      </c>
      <c r="D75">
        <f t="shared" si="30"/>
        <v>0</v>
      </c>
      <c r="E75">
        <v>0</v>
      </c>
      <c r="F75">
        <v>1</v>
      </c>
      <c r="G75">
        <f t="shared" si="31"/>
        <v>1</v>
      </c>
      <c r="H75">
        <v>0</v>
      </c>
      <c r="I75">
        <v>0</v>
      </c>
      <c r="J75">
        <f t="shared" si="32"/>
        <v>0</v>
      </c>
      <c r="K75">
        <f t="shared" si="33"/>
        <v>0</v>
      </c>
      <c r="L75">
        <f t="shared" si="34"/>
        <v>1</v>
      </c>
      <c r="M75">
        <f t="shared" si="35"/>
        <v>1</v>
      </c>
      <c r="N75">
        <f>IF(K336&gt;0,ROUND((K75/K336) * 100, 4), "")</f>
        <v>0</v>
      </c>
      <c r="O75">
        <f>IF(L336&gt;0,ROUND((L75/L336) * 100, 4), "")</f>
        <v>1.11E-2</v>
      </c>
      <c r="P75">
        <f>IF(M336&gt;0,ROUND((M75/M336) * 100, 4), "")</f>
        <v>2.8999999999999998E-3</v>
      </c>
      <c r="Q75">
        <v>0</v>
      </c>
      <c r="R75">
        <v>1</v>
      </c>
      <c r="S75">
        <f t="shared" si="36"/>
        <v>1</v>
      </c>
      <c r="T75">
        <f t="shared" si="37"/>
        <v>0</v>
      </c>
      <c r="U75">
        <f t="shared" si="38"/>
        <v>0</v>
      </c>
      <c r="V75">
        <f t="shared" si="39"/>
        <v>0</v>
      </c>
    </row>
    <row r="76" spans="1:22" x14ac:dyDescent="0.25">
      <c r="A76" t="s">
        <v>78</v>
      </c>
      <c r="B76">
        <v>0</v>
      </c>
      <c r="C76">
        <v>0</v>
      </c>
      <c r="D76">
        <f t="shared" si="30"/>
        <v>0</v>
      </c>
      <c r="E76">
        <v>0</v>
      </c>
      <c r="F76">
        <v>0</v>
      </c>
      <c r="G76">
        <f t="shared" si="31"/>
        <v>0</v>
      </c>
      <c r="H76">
        <v>0</v>
      </c>
      <c r="I76">
        <v>0</v>
      </c>
      <c r="J76">
        <f t="shared" si="32"/>
        <v>0</v>
      </c>
      <c r="K76">
        <f t="shared" si="33"/>
        <v>0</v>
      </c>
      <c r="L76">
        <f t="shared" si="34"/>
        <v>0</v>
      </c>
      <c r="M76">
        <f t="shared" si="35"/>
        <v>0</v>
      </c>
      <c r="N76">
        <f>IF(K336&gt;0,ROUND((K76/K336) * 100, 4), "")</f>
        <v>0</v>
      </c>
      <c r="O76">
        <f>IF(L336&gt;0,ROUND((L76/L336) * 100, 4), "")</f>
        <v>0</v>
      </c>
      <c r="P76">
        <f>IF(M336&gt;0,ROUND((M76/M336) * 100, 4), "")</f>
        <v>0</v>
      </c>
      <c r="Q76">
        <v>0</v>
      </c>
      <c r="R76">
        <v>0</v>
      </c>
      <c r="S76">
        <f t="shared" si="36"/>
        <v>0</v>
      </c>
      <c r="T76">
        <f t="shared" si="37"/>
        <v>0</v>
      </c>
      <c r="U76">
        <f t="shared" si="38"/>
        <v>0</v>
      </c>
      <c r="V76">
        <f t="shared" si="39"/>
        <v>0</v>
      </c>
    </row>
    <row r="77" spans="1:22" x14ac:dyDescent="0.25">
      <c r="A77" t="s">
        <v>79</v>
      </c>
      <c r="B77">
        <v>5</v>
      </c>
      <c r="C77">
        <v>0</v>
      </c>
      <c r="D77">
        <f t="shared" si="30"/>
        <v>5</v>
      </c>
      <c r="E77">
        <v>0</v>
      </c>
      <c r="F77">
        <v>1</v>
      </c>
      <c r="G77">
        <f t="shared" si="31"/>
        <v>1</v>
      </c>
      <c r="H77">
        <v>0</v>
      </c>
      <c r="I77">
        <v>0</v>
      </c>
      <c r="J77">
        <f t="shared" si="32"/>
        <v>0</v>
      </c>
      <c r="K77">
        <f t="shared" si="33"/>
        <v>0</v>
      </c>
      <c r="L77">
        <f t="shared" si="34"/>
        <v>1</v>
      </c>
      <c r="M77">
        <f t="shared" si="35"/>
        <v>1</v>
      </c>
      <c r="N77">
        <f>IF(K336&gt;0,ROUND((K77/K336) * 100, 4), "")</f>
        <v>0</v>
      </c>
      <c r="O77">
        <f>IF(L336&gt;0,ROUND((L77/L336) * 100, 4), "")</f>
        <v>1.11E-2</v>
      </c>
      <c r="P77">
        <f>IF(M336&gt;0,ROUND((M77/M336) * 100, 4), "")</f>
        <v>2.8999999999999998E-3</v>
      </c>
      <c r="Q77">
        <v>5</v>
      </c>
      <c r="R77">
        <v>1</v>
      </c>
      <c r="S77">
        <f t="shared" si="36"/>
        <v>6</v>
      </c>
      <c r="T77">
        <f t="shared" si="37"/>
        <v>0</v>
      </c>
      <c r="U77">
        <f t="shared" si="38"/>
        <v>0</v>
      </c>
      <c r="V77">
        <f t="shared" si="39"/>
        <v>0</v>
      </c>
    </row>
    <row r="78" spans="1:22" x14ac:dyDescent="0.25">
      <c r="A78" t="s">
        <v>80</v>
      </c>
      <c r="B78">
        <v>0</v>
      </c>
      <c r="C78">
        <v>0</v>
      </c>
      <c r="D78">
        <f t="shared" si="30"/>
        <v>0</v>
      </c>
      <c r="E78">
        <v>0</v>
      </c>
      <c r="F78">
        <v>1</v>
      </c>
      <c r="G78">
        <f t="shared" si="31"/>
        <v>1</v>
      </c>
      <c r="H78">
        <v>0</v>
      </c>
      <c r="I78">
        <v>0</v>
      </c>
      <c r="J78">
        <f t="shared" si="32"/>
        <v>0</v>
      </c>
      <c r="K78">
        <f t="shared" si="33"/>
        <v>0</v>
      </c>
      <c r="L78">
        <f t="shared" si="34"/>
        <v>1</v>
      </c>
      <c r="M78">
        <f t="shared" si="35"/>
        <v>1</v>
      </c>
      <c r="N78">
        <f>IF(K336&gt;0,ROUND((K78/K336) * 100, 4), "")</f>
        <v>0</v>
      </c>
      <c r="O78">
        <f>IF(L336&gt;0,ROUND((L78/L336) * 100, 4), "")</f>
        <v>1.11E-2</v>
      </c>
      <c r="P78">
        <f>IF(M336&gt;0,ROUND((M78/M336) * 100, 4), "")</f>
        <v>2.8999999999999998E-3</v>
      </c>
      <c r="Q78">
        <v>0</v>
      </c>
      <c r="R78">
        <v>1</v>
      </c>
      <c r="S78">
        <f t="shared" si="36"/>
        <v>1</v>
      </c>
      <c r="T78">
        <f t="shared" si="37"/>
        <v>0</v>
      </c>
      <c r="U78">
        <f t="shared" si="38"/>
        <v>0</v>
      </c>
      <c r="V78">
        <f t="shared" si="39"/>
        <v>0</v>
      </c>
    </row>
    <row r="79" spans="1:22" x14ac:dyDescent="0.25">
      <c r="A79" t="s">
        <v>81</v>
      </c>
      <c r="B79">
        <v>0</v>
      </c>
      <c r="C79">
        <v>0</v>
      </c>
      <c r="D79">
        <f t="shared" si="30"/>
        <v>0</v>
      </c>
      <c r="E79">
        <v>0</v>
      </c>
      <c r="F79">
        <v>0</v>
      </c>
      <c r="G79">
        <f t="shared" si="31"/>
        <v>0</v>
      </c>
      <c r="H79">
        <v>0</v>
      </c>
      <c r="I79">
        <v>0</v>
      </c>
      <c r="J79">
        <f t="shared" si="32"/>
        <v>0</v>
      </c>
      <c r="K79">
        <f t="shared" si="33"/>
        <v>0</v>
      </c>
      <c r="L79">
        <f t="shared" si="34"/>
        <v>0</v>
      </c>
      <c r="M79">
        <f t="shared" si="35"/>
        <v>0</v>
      </c>
      <c r="N79">
        <f>IF(K336&gt;0,ROUND((K79/K336) * 100, 4), "")</f>
        <v>0</v>
      </c>
      <c r="O79">
        <f>IF(L336&gt;0,ROUND((L79/L336) * 100, 4), "")</f>
        <v>0</v>
      </c>
      <c r="P79">
        <f>IF(M336&gt;0,ROUND((M79/M336) * 100, 4), "")</f>
        <v>0</v>
      </c>
      <c r="Q79">
        <v>0</v>
      </c>
      <c r="R79">
        <v>0</v>
      </c>
      <c r="S79">
        <f t="shared" si="36"/>
        <v>0</v>
      </c>
      <c r="T79">
        <f t="shared" si="37"/>
        <v>0</v>
      </c>
      <c r="U79">
        <f t="shared" si="38"/>
        <v>0</v>
      </c>
      <c r="V79">
        <f t="shared" si="39"/>
        <v>0</v>
      </c>
    </row>
    <row r="80" spans="1:22" x14ac:dyDescent="0.25">
      <c r="A80" t="s">
        <v>82</v>
      </c>
      <c r="B80">
        <v>0</v>
      </c>
      <c r="C80">
        <v>0</v>
      </c>
      <c r="D80">
        <f t="shared" si="30"/>
        <v>0</v>
      </c>
      <c r="E80">
        <v>0</v>
      </c>
      <c r="F80">
        <v>0</v>
      </c>
      <c r="G80">
        <f t="shared" si="31"/>
        <v>0</v>
      </c>
      <c r="H80">
        <v>0</v>
      </c>
      <c r="I80">
        <v>0</v>
      </c>
      <c r="J80">
        <f t="shared" si="32"/>
        <v>0</v>
      </c>
      <c r="K80">
        <f t="shared" si="33"/>
        <v>0</v>
      </c>
      <c r="L80">
        <f t="shared" si="34"/>
        <v>0</v>
      </c>
      <c r="M80">
        <f t="shared" si="35"/>
        <v>0</v>
      </c>
      <c r="N80">
        <f>IF(K336&gt;0,ROUND((K80/K336) * 100, 4), "")</f>
        <v>0</v>
      </c>
      <c r="O80">
        <f>IF(L336&gt;0,ROUND((L80/L336) * 100, 4), "")</f>
        <v>0</v>
      </c>
      <c r="P80">
        <f>IF(M336&gt;0,ROUND((M80/M336) * 100, 4), "")</f>
        <v>0</v>
      </c>
      <c r="Q80">
        <v>0</v>
      </c>
      <c r="R80">
        <v>0</v>
      </c>
      <c r="S80">
        <f t="shared" si="36"/>
        <v>0</v>
      </c>
      <c r="T80">
        <f t="shared" si="37"/>
        <v>0</v>
      </c>
      <c r="U80">
        <f t="shared" si="38"/>
        <v>0</v>
      </c>
      <c r="V80">
        <f t="shared" si="39"/>
        <v>0</v>
      </c>
    </row>
    <row r="81" spans="1:22" x14ac:dyDescent="0.25">
      <c r="A81" t="s">
        <v>83</v>
      </c>
      <c r="B81">
        <v>0</v>
      </c>
      <c r="C81">
        <v>1</v>
      </c>
      <c r="D81">
        <f t="shared" si="30"/>
        <v>1</v>
      </c>
      <c r="E81">
        <v>0</v>
      </c>
      <c r="F81">
        <v>0</v>
      </c>
      <c r="G81">
        <f t="shared" si="31"/>
        <v>0</v>
      </c>
      <c r="H81">
        <v>0</v>
      </c>
      <c r="I81">
        <v>0</v>
      </c>
      <c r="J81">
        <f t="shared" si="32"/>
        <v>0</v>
      </c>
      <c r="K81">
        <f t="shared" si="33"/>
        <v>0</v>
      </c>
      <c r="L81">
        <f t="shared" si="34"/>
        <v>0</v>
      </c>
      <c r="M81">
        <f t="shared" si="35"/>
        <v>0</v>
      </c>
      <c r="N81">
        <f>IF(K336&gt;0,ROUND((K81/K336) * 100, 4), "")</f>
        <v>0</v>
      </c>
      <c r="O81">
        <f>IF(L336&gt;0,ROUND((L81/L336) * 100, 4), "")</f>
        <v>0</v>
      </c>
      <c r="P81">
        <f>IF(M336&gt;0,ROUND((M81/M336) * 100, 4), "")</f>
        <v>0</v>
      </c>
      <c r="Q81">
        <v>0</v>
      </c>
      <c r="R81">
        <v>0</v>
      </c>
      <c r="S81">
        <f t="shared" si="36"/>
        <v>0</v>
      </c>
      <c r="T81">
        <f t="shared" si="37"/>
        <v>0</v>
      </c>
      <c r="U81">
        <f t="shared" si="38"/>
        <v>1</v>
      </c>
      <c r="V81">
        <f t="shared" si="39"/>
        <v>1</v>
      </c>
    </row>
    <row r="82" spans="1:22" x14ac:dyDescent="0.25">
      <c r="A82" t="s">
        <v>84</v>
      </c>
      <c r="B82">
        <v>0</v>
      </c>
      <c r="C82">
        <v>0</v>
      </c>
      <c r="D82">
        <f t="shared" si="30"/>
        <v>0</v>
      </c>
      <c r="E82">
        <v>0</v>
      </c>
      <c r="F82">
        <v>0</v>
      </c>
      <c r="G82">
        <f t="shared" si="31"/>
        <v>0</v>
      </c>
      <c r="H82">
        <v>0</v>
      </c>
      <c r="I82">
        <v>0</v>
      </c>
      <c r="J82">
        <f t="shared" si="32"/>
        <v>0</v>
      </c>
      <c r="K82">
        <f t="shared" si="33"/>
        <v>0</v>
      </c>
      <c r="L82">
        <f t="shared" si="34"/>
        <v>0</v>
      </c>
      <c r="M82">
        <f t="shared" si="35"/>
        <v>0</v>
      </c>
      <c r="N82">
        <f>IF(K336&gt;0,ROUND((K82/K336) * 100, 4), "")</f>
        <v>0</v>
      </c>
      <c r="O82">
        <f>IF(L336&gt;0,ROUND((L82/L336) * 100, 4), "")</f>
        <v>0</v>
      </c>
      <c r="P82">
        <f>IF(M336&gt;0,ROUND((M82/M336) * 100, 4), "")</f>
        <v>0</v>
      </c>
      <c r="Q82">
        <v>0</v>
      </c>
      <c r="R82">
        <v>0</v>
      </c>
      <c r="S82">
        <f t="shared" si="36"/>
        <v>0</v>
      </c>
      <c r="T82">
        <f t="shared" si="37"/>
        <v>0</v>
      </c>
      <c r="U82">
        <f t="shared" si="38"/>
        <v>0</v>
      </c>
      <c r="V82">
        <f t="shared" si="39"/>
        <v>0</v>
      </c>
    </row>
    <row r="83" spans="1:22" x14ac:dyDescent="0.25">
      <c r="A83" t="s">
        <v>85</v>
      </c>
      <c r="B83">
        <v>0</v>
      </c>
      <c r="C83">
        <v>0</v>
      </c>
      <c r="D83">
        <f t="shared" si="30"/>
        <v>0</v>
      </c>
      <c r="E83">
        <v>0</v>
      </c>
      <c r="F83">
        <v>0</v>
      </c>
      <c r="G83">
        <f t="shared" si="31"/>
        <v>0</v>
      </c>
      <c r="H83">
        <v>0</v>
      </c>
      <c r="I83">
        <v>0</v>
      </c>
      <c r="J83">
        <f t="shared" si="32"/>
        <v>0</v>
      </c>
      <c r="K83">
        <f t="shared" si="33"/>
        <v>0</v>
      </c>
      <c r="L83">
        <f t="shared" si="34"/>
        <v>0</v>
      </c>
      <c r="M83">
        <f t="shared" si="35"/>
        <v>0</v>
      </c>
      <c r="N83">
        <f>IF(K336&gt;0,ROUND((K83/K336) * 100, 4), "")</f>
        <v>0</v>
      </c>
      <c r="O83">
        <f>IF(L336&gt;0,ROUND((L83/L336) * 100, 4), "")</f>
        <v>0</v>
      </c>
      <c r="P83">
        <f>IF(M336&gt;0,ROUND((M83/M336) * 100, 4), "")</f>
        <v>0</v>
      </c>
      <c r="Q83">
        <v>0</v>
      </c>
      <c r="R83">
        <v>0</v>
      </c>
      <c r="S83">
        <f t="shared" si="36"/>
        <v>0</v>
      </c>
      <c r="T83">
        <f t="shared" si="37"/>
        <v>0</v>
      </c>
      <c r="U83">
        <f t="shared" si="38"/>
        <v>0</v>
      </c>
      <c r="V83">
        <f t="shared" si="39"/>
        <v>0</v>
      </c>
    </row>
    <row r="84" spans="1:22" x14ac:dyDescent="0.25">
      <c r="A84" t="s">
        <v>86</v>
      </c>
      <c r="B84">
        <v>0</v>
      </c>
      <c r="C84">
        <v>0</v>
      </c>
      <c r="D84">
        <f t="shared" si="30"/>
        <v>0</v>
      </c>
      <c r="E84">
        <v>0</v>
      </c>
      <c r="F84">
        <v>0</v>
      </c>
      <c r="G84">
        <f t="shared" si="31"/>
        <v>0</v>
      </c>
      <c r="H84">
        <v>0</v>
      </c>
      <c r="I84">
        <v>0</v>
      </c>
      <c r="J84">
        <f t="shared" si="32"/>
        <v>0</v>
      </c>
      <c r="K84">
        <f t="shared" si="33"/>
        <v>0</v>
      </c>
      <c r="L84">
        <f t="shared" si="34"/>
        <v>0</v>
      </c>
      <c r="M84">
        <f t="shared" si="35"/>
        <v>0</v>
      </c>
      <c r="N84">
        <f>IF(K336&gt;0,ROUND((K84/K336) * 100, 4), "")</f>
        <v>0</v>
      </c>
      <c r="O84">
        <f>IF(L336&gt;0,ROUND((L84/L336) * 100, 4), "")</f>
        <v>0</v>
      </c>
      <c r="P84">
        <f>IF(M336&gt;0,ROUND((M84/M336) * 100, 4), "")</f>
        <v>0</v>
      </c>
      <c r="Q84">
        <v>0</v>
      </c>
      <c r="R84">
        <v>0</v>
      </c>
      <c r="S84">
        <f t="shared" si="36"/>
        <v>0</v>
      </c>
      <c r="T84">
        <f t="shared" si="37"/>
        <v>0</v>
      </c>
      <c r="U84">
        <f t="shared" si="38"/>
        <v>0</v>
      </c>
      <c r="V84">
        <f t="shared" si="39"/>
        <v>0</v>
      </c>
    </row>
    <row r="85" spans="1:22" x14ac:dyDescent="0.25">
      <c r="A85" t="s">
        <v>87</v>
      </c>
      <c r="B85">
        <v>0</v>
      </c>
      <c r="C85">
        <v>0</v>
      </c>
      <c r="D85">
        <f t="shared" si="30"/>
        <v>0</v>
      </c>
      <c r="E85">
        <v>2</v>
      </c>
      <c r="F85">
        <v>4</v>
      </c>
      <c r="G85">
        <f t="shared" si="31"/>
        <v>6</v>
      </c>
      <c r="H85">
        <v>2</v>
      </c>
      <c r="I85">
        <v>0</v>
      </c>
      <c r="J85">
        <f t="shared" si="32"/>
        <v>2</v>
      </c>
      <c r="K85">
        <f t="shared" si="33"/>
        <v>4</v>
      </c>
      <c r="L85">
        <f t="shared" si="34"/>
        <v>4</v>
      </c>
      <c r="M85">
        <f t="shared" si="35"/>
        <v>8</v>
      </c>
      <c r="N85">
        <f>IF(K336&gt;0,ROUND((K85/K336) * 100, 4), "")</f>
        <v>1.55E-2</v>
      </c>
      <c r="O85">
        <f>IF(L336&gt;0,ROUND((L85/L336) * 100, 4), "")</f>
        <v>4.4200000000000003E-2</v>
      </c>
      <c r="P85">
        <f>IF(M336&gt;0,ROUND((M85/M336) * 100, 4), "")</f>
        <v>2.3E-2</v>
      </c>
      <c r="Q85">
        <v>3</v>
      </c>
      <c r="R85">
        <v>1</v>
      </c>
      <c r="S85">
        <f t="shared" si="36"/>
        <v>4</v>
      </c>
      <c r="T85">
        <f t="shared" si="37"/>
        <v>1</v>
      </c>
      <c r="U85">
        <f t="shared" si="38"/>
        <v>3</v>
      </c>
      <c r="V85">
        <f t="shared" si="39"/>
        <v>4</v>
      </c>
    </row>
    <row r="87" spans="1:22" x14ac:dyDescent="0.25">
      <c r="A87" s="8" t="s">
        <v>88</v>
      </c>
      <c r="B87" s="8" t="s">
        <v>88</v>
      </c>
      <c r="C87" s="8" t="s">
        <v>88</v>
      </c>
      <c r="D87" s="8" t="s">
        <v>88</v>
      </c>
      <c r="E87" s="8" t="s">
        <v>88</v>
      </c>
      <c r="F87" s="8" t="s">
        <v>88</v>
      </c>
      <c r="G87" s="8" t="s">
        <v>88</v>
      </c>
      <c r="H87" s="8" t="s">
        <v>88</v>
      </c>
      <c r="I87" s="8" t="s">
        <v>88</v>
      </c>
      <c r="J87" s="8" t="s">
        <v>88</v>
      </c>
      <c r="K87" s="8" t="s">
        <v>88</v>
      </c>
      <c r="L87" s="8" t="s">
        <v>88</v>
      </c>
      <c r="M87" s="8" t="s">
        <v>88</v>
      </c>
      <c r="N87" s="8" t="s">
        <v>88</v>
      </c>
      <c r="O87" s="8" t="s">
        <v>88</v>
      </c>
      <c r="P87" s="8" t="s">
        <v>88</v>
      </c>
      <c r="Q87" s="8" t="s">
        <v>88</v>
      </c>
      <c r="R87" s="8" t="s">
        <v>88</v>
      </c>
      <c r="S87" s="8" t="s">
        <v>88</v>
      </c>
      <c r="T87" s="8" t="s">
        <v>88</v>
      </c>
      <c r="U87" s="8" t="s">
        <v>88</v>
      </c>
      <c r="V87" s="8" t="s">
        <v>88</v>
      </c>
    </row>
    <row r="88" spans="1:22" x14ac:dyDescent="0.25">
      <c r="A88" t="s">
        <v>89</v>
      </c>
      <c r="B88">
        <v>0</v>
      </c>
      <c r="C88">
        <v>0</v>
      </c>
      <c r="D88">
        <f t="shared" ref="D88:D96" si="40">B88+C88</f>
        <v>0</v>
      </c>
      <c r="E88">
        <v>0</v>
      </c>
      <c r="F88">
        <v>0</v>
      </c>
      <c r="G88">
        <f t="shared" ref="G88:G96" si="41">E88+F88</f>
        <v>0</v>
      </c>
      <c r="H88">
        <v>0</v>
      </c>
      <c r="I88">
        <v>0</v>
      </c>
      <c r="J88">
        <f t="shared" ref="J88:J96" si="42">H88+I88</f>
        <v>0</v>
      </c>
      <c r="K88">
        <f t="shared" ref="K88:K96" si="43">E88 + H88</f>
        <v>0</v>
      </c>
      <c r="L88">
        <f t="shared" ref="L88:L96" si="44">F88 + I88</f>
        <v>0</v>
      </c>
      <c r="M88">
        <f t="shared" ref="M88:M96" si="45">K88 + L88</f>
        <v>0</v>
      </c>
      <c r="N88">
        <f>IF(K336&gt;0,ROUND((K88/K336) * 100, 4), "")</f>
        <v>0</v>
      </c>
      <c r="O88">
        <f>IF(L336&gt;0,ROUND((L88/L336) * 100, 4), "")</f>
        <v>0</v>
      </c>
      <c r="P88">
        <f>IF(M336&gt;0,ROUND((M88/M336) * 100, 4), "")</f>
        <v>0</v>
      </c>
      <c r="Q88">
        <v>0</v>
      </c>
      <c r="R88">
        <v>0</v>
      </c>
      <c r="S88">
        <f t="shared" ref="S88:S96" si="46">Q88 + R88</f>
        <v>0</v>
      </c>
      <c r="T88">
        <f t="shared" ref="T88:T96" si="47">B88 + K88 - Q88</f>
        <v>0</v>
      </c>
      <c r="U88">
        <f t="shared" ref="U88:U96" si="48">C88 + L88 - R88</f>
        <v>0</v>
      </c>
      <c r="V88">
        <f t="shared" ref="V88:V96" si="49">T88 + U88</f>
        <v>0</v>
      </c>
    </row>
    <row r="89" spans="1:22" x14ac:dyDescent="0.25">
      <c r="A89" t="s">
        <v>90</v>
      </c>
      <c r="B89">
        <v>0</v>
      </c>
      <c r="C89">
        <v>1</v>
      </c>
      <c r="D89">
        <f t="shared" si="40"/>
        <v>1</v>
      </c>
      <c r="E89">
        <v>0</v>
      </c>
      <c r="F89">
        <v>1</v>
      </c>
      <c r="G89">
        <f t="shared" si="41"/>
        <v>1</v>
      </c>
      <c r="H89">
        <v>0</v>
      </c>
      <c r="I89">
        <v>0</v>
      </c>
      <c r="J89">
        <f t="shared" si="42"/>
        <v>0</v>
      </c>
      <c r="K89">
        <f t="shared" si="43"/>
        <v>0</v>
      </c>
      <c r="L89">
        <f t="shared" si="44"/>
        <v>1</v>
      </c>
      <c r="M89">
        <f t="shared" si="45"/>
        <v>1</v>
      </c>
      <c r="N89">
        <f>IF(K336&gt;0,ROUND((K89/K336) * 100, 4), "")</f>
        <v>0</v>
      </c>
      <c r="O89">
        <f>IF(L336&gt;0,ROUND((L89/L336) * 100, 4), "")</f>
        <v>1.11E-2</v>
      </c>
      <c r="P89">
        <f>IF(M336&gt;0,ROUND((M89/M336) * 100, 4), "")</f>
        <v>2.8999999999999998E-3</v>
      </c>
      <c r="Q89">
        <v>0</v>
      </c>
      <c r="R89">
        <v>2</v>
      </c>
      <c r="S89">
        <f t="shared" si="46"/>
        <v>2</v>
      </c>
      <c r="T89">
        <f t="shared" si="47"/>
        <v>0</v>
      </c>
      <c r="U89">
        <f t="shared" si="48"/>
        <v>0</v>
      </c>
      <c r="V89">
        <f t="shared" si="49"/>
        <v>0</v>
      </c>
    </row>
    <row r="90" spans="1:22" x14ac:dyDescent="0.25">
      <c r="A90" t="s">
        <v>91</v>
      </c>
      <c r="B90">
        <v>6</v>
      </c>
      <c r="C90">
        <v>27</v>
      </c>
      <c r="D90">
        <f t="shared" si="40"/>
        <v>33</v>
      </c>
      <c r="E90">
        <v>33</v>
      </c>
      <c r="F90">
        <v>209</v>
      </c>
      <c r="G90">
        <f t="shared" si="41"/>
        <v>242</v>
      </c>
      <c r="H90">
        <v>0</v>
      </c>
      <c r="I90">
        <v>0</v>
      </c>
      <c r="J90">
        <f t="shared" si="42"/>
        <v>0</v>
      </c>
      <c r="K90">
        <f t="shared" si="43"/>
        <v>33</v>
      </c>
      <c r="L90">
        <f t="shared" si="44"/>
        <v>209</v>
      </c>
      <c r="M90">
        <f t="shared" si="45"/>
        <v>242</v>
      </c>
      <c r="N90">
        <f>IF(K336&gt;0,ROUND((K90/K336) * 100, 4), "")</f>
        <v>0.12809999999999999</v>
      </c>
      <c r="O90">
        <f>IF(L336&gt;0,ROUND((L90/L336) * 100, 4), "")</f>
        <v>2.3113999999999999</v>
      </c>
      <c r="P90">
        <f>IF(M336&gt;0,ROUND((M90/M336) * 100, 4), "")</f>
        <v>0.69520000000000004</v>
      </c>
      <c r="Q90">
        <v>38</v>
      </c>
      <c r="R90">
        <v>153</v>
      </c>
      <c r="S90">
        <f t="shared" si="46"/>
        <v>191</v>
      </c>
      <c r="T90">
        <f t="shared" si="47"/>
        <v>1</v>
      </c>
      <c r="U90">
        <f t="shared" si="48"/>
        <v>83</v>
      </c>
      <c r="V90">
        <f t="shared" si="49"/>
        <v>84</v>
      </c>
    </row>
    <row r="91" spans="1:22" x14ac:dyDescent="0.25">
      <c r="A91" t="s">
        <v>92</v>
      </c>
      <c r="B91">
        <v>2</v>
      </c>
      <c r="C91">
        <v>1</v>
      </c>
      <c r="D91">
        <f t="shared" si="40"/>
        <v>3</v>
      </c>
      <c r="E91">
        <v>3</v>
      </c>
      <c r="F91">
        <v>12</v>
      </c>
      <c r="G91">
        <f t="shared" si="41"/>
        <v>15</v>
      </c>
      <c r="H91">
        <v>0</v>
      </c>
      <c r="I91">
        <v>1</v>
      </c>
      <c r="J91">
        <f t="shared" si="42"/>
        <v>1</v>
      </c>
      <c r="K91">
        <f t="shared" si="43"/>
        <v>3</v>
      </c>
      <c r="L91">
        <f t="shared" si="44"/>
        <v>13</v>
      </c>
      <c r="M91">
        <f t="shared" si="45"/>
        <v>16</v>
      </c>
      <c r="N91">
        <f>IF(K336&gt;0,ROUND((K91/K336) * 100, 4), "")</f>
        <v>1.1599999999999999E-2</v>
      </c>
      <c r="O91">
        <f>IF(L336&gt;0,ROUND((L91/L336) * 100, 4), "")</f>
        <v>0.14380000000000001</v>
      </c>
      <c r="P91">
        <f>IF(M336&gt;0,ROUND((M91/M336) * 100, 4), "")</f>
        <v>4.5999999999999999E-2</v>
      </c>
      <c r="Q91">
        <v>5</v>
      </c>
      <c r="R91">
        <v>14</v>
      </c>
      <c r="S91">
        <f t="shared" si="46"/>
        <v>19</v>
      </c>
      <c r="T91">
        <f t="shared" si="47"/>
        <v>0</v>
      </c>
      <c r="U91">
        <f t="shared" si="48"/>
        <v>0</v>
      </c>
      <c r="V91">
        <f t="shared" si="49"/>
        <v>0</v>
      </c>
    </row>
    <row r="92" spans="1:22" x14ac:dyDescent="0.25">
      <c r="A92" t="s">
        <v>93</v>
      </c>
      <c r="B92">
        <v>8</v>
      </c>
      <c r="C92">
        <v>14</v>
      </c>
      <c r="D92">
        <f t="shared" si="40"/>
        <v>22</v>
      </c>
      <c r="E92">
        <v>31</v>
      </c>
      <c r="F92">
        <v>89</v>
      </c>
      <c r="G92">
        <f t="shared" si="41"/>
        <v>120</v>
      </c>
      <c r="H92">
        <v>1</v>
      </c>
      <c r="I92">
        <v>8</v>
      </c>
      <c r="J92">
        <f t="shared" si="42"/>
        <v>9</v>
      </c>
      <c r="K92">
        <f t="shared" si="43"/>
        <v>32</v>
      </c>
      <c r="L92">
        <f t="shared" si="44"/>
        <v>97</v>
      </c>
      <c r="M92">
        <f t="shared" si="45"/>
        <v>129</v>
      </c>
      <c r="N92">
        <f>IF(K336&gt;0,ROUND((K92/K336) * 100, 4), "")</f>
        <v>0.1242</v>
      </c>
      <c r="O92">
        <f>IF(L336&gt;0,ROUND((L92/L336) * 100, 4), "")</f>
        <v>1.0728</v>
      </c>
      <c r="P92">
        <f>IF(M336&gt;0,ROUND((M92/M336) * 100, 4), "")</f>
        <v>0.37059999999999998</v>
      </c>
      <c r="Q92">
        <v>39</v>
      </c>
      <c r="R92">
        <v>95</v>
      </c>
      <c r="S92">
        <f t="shared" si="46"/>
        <v>134</v>
      </c>
      <c r="T92">
        <f t="shared" si="47"/>
        <v>1</v>
      </c>
      <c r="U92">
        <f t="shared" si="48"/>
        <v>16</v>
      </c>
      <c r="V92">
        <f t="shared" si="49"/>
        <v>17</v>
      </c>
    </row>
    <row r="93" spans="1:22" x14ac:dyDescent="0.25">
      <c r="A93" t="s">
        <v>94</v>
      </c>
      <c r="B93">
        <v>0</v>
      </c>
      <c r="C93">
        <v>0</v>
      </c>
      <c r="D93">
        <f t="shared" si="40"/>
        <v>0</v>
      </c>
      <c r="E93">
        <v>0</v>
      </c>
      <c r="F93">
        <v>0</v>
      </c>
      <c r="G93">
        <f t="shared" si="41"/>
        <v>0</v>
      </c>
      <c r="H93">
        <v>0</v>
      </c>
      <c r="I93">
        <v>0</v>
      </c>
      <c r="J93">
        <f t="shared" si="42"/>
        <v>0</v>
      </c>
      <c r="K93">
        <f t="shared" si="43"/>
        <v>0</v>
      </c>
      <c r="L93">
        <f t="shared" si="44"/>
        <v>0</v>
      </c>
      <c r="M93">
        <f t="shared" si="45"/>
        <v>0</v>
      </c>
      <c r="N93">
        <f>IF(K336&gt;0,ROUND((K93/K336) * 100, 4), "")</f>
        <v>0</v>
      </c>
      <c r="O93">
        <f>IF(L336&gt;0,ROUND((L93/L336) * 100, 4), "")</f>
        <v>0</v>
      </c>
      <c r="P93">
        <f>IF(M336&gt;0,ROUND((M93/M336) * 100, 4), "")</f>
        <v>0</v>
      </c>
      <c r="Q93">
        <v>0</v>
      </c>
      <c r="R93">
        <v>0</v>
      </c>
      <c r="S93">
        <f t="shared" si="46"/>
        <v>0</v>
      </c>
      <c r="T93">
        <f t="shared" si="47"/>
        <v>0</v>
      </c>
      <c r="U93">
        <f t="shared" si="48"/>
        <v>0</v>
      </c>
      <c r="V93">
        <f t="shared" si="49"/>
        <v>0</v>
      </c>
    </row>
    <row r="94" spans="1:22" x14ac:dyDescent="0.25">
      <c r="A94" t="s">
        <v>95</v>
      </c>
      <c r="B94">
        <v>1</v>
      </c>
      <c r="C94">
        <v>0</v>
      </c>
      <c r="D94">
        <f t="shared" si="40"/>
        <v>1</v>
      </c>
      <c r="E94">
        <v>0</v>
      </c>
      <c r="F94">
        <v>8</v>
      </c>
      <c r="G94">
        <f t="shared" si="41"/>
        <v>8</v>
      </c>
      <c r="H94">
        <v>0</v>
      </c>
      <c r="I94">
        <v>0</v>
      </c>
      <c r="J94">
        <f t="shared" si="42"/>
        <v>0</v>
      </c>
      <c r="K94">
        <f t="shared" si="43"/>
        <v>0</v>
      </c>
      <c r="L94">
        <f t="shared" si="44"/>
        <v>8</v>
      </c>
      <c r="M94">
        <f t="shared" si="45"/>
        <v>8</v>
      </c>
      <c r="N94">
        <f>IF(K336&gt;0,ROUND((K94/K336) * 100, 4), "")</f>
        <v>0</v>
      </c>
      <c r="O94">
        <f>IF(L336&gt;0,ROUND((L94/L336) * 100, 4), "")</f>
        <v>8.8499999999999995E-2</v>
      </c>
      <c r="P94">
        <f>IF(M336&gt;0,ROUND((M94/M336) * 100, 4), "")</f>
        <v>2.3E-2</v>
      </c>
      <c r="Q94">
        <v>1</v>
      </c>
      <c r="R94">
        <v>8</v>
      </c>
      <c r="S94">
        <f t="shared" si="46"/>
        <v>9</v>
      </c>
      <c r="T94">
        <f t="shared" si="47"/>
        <v>0</v>
      </c>
      <c r="U94">
        <f t="shared" si="48"/>
        <v>0</v>
      </c>
      <c r="V94">
        <f t="shared" si="49"/>
        <v>0</v>
      </c>
    </row>
    <row r="95" spans="1:22" x14ac:dyDescent="0.25">
      <c r="A95" t="s">
        <v>96</v>
      </c>
      <c r="B95">
        <v>0</v>
      </c>
      <c r="C95">
        <v>0</v>
      </c>
      <c r="D95">
        <f t="shared" si="40"/>
        <v>0</v>
      </c>
      <c r="E95">
        <v>0</v>
      </c>
      <c r="F95">
        <v>0</v>
      </c>
      <c r="G95">
        <f t="shared" si="41"/>
        <v>0</v>
      </c>
      <c r="H95">
        <v>0</v>
      </c>
      <c r="I95">
        <v>0</v>
      </c>
      <c r="J95">
        <f t="shared" si="42"/>
        <v>0</v>
      </c>
      <c r="K95">
        <f t="shared" si="43"/>
        <v>0</v>
      </c>
      <c r="L95">
        <f t="shared" si="44"/>
        <v>0</v>
      </c>
      <c r="M95">
        <f t="shared" si="45"/>
        <v>0</v>
      </c>
      <c r="N95">
        <f>IF(K336&gt;0,ROUND((K95/K336) * 100, 4), "")</f>
        <v>0</v>
      </c>
      <c r="O95">
        <f>IF(L336&gt;0,ROUND((L95/L336) * 100, 4), "")</f>
        <v>0</v>
      </c>
      <c r="P95">
        <f>IF(M336&gt;0,ROUND((M95/M336) * 100, 4), "")</f>
        <v>0</v>
      </c>
      <c r="Q95">
        <v>0</v>
      </c>
      <c r="R95">
        <v>0</v>
      </c>
      <c r="S95">
        <f t="shared" si="46"/>
        <v>0</v>
      </c>
      <c r="T95">
        <f t="shared" si="47"/>
        <v>0</v>
      </c>
      <c r="U95">
        <f t="shared" si="48"/>
        <v>0</v>
      </c>
      <c r="V95">
        <f t="shared" si="49"/>
        <v>0</v>
      </c>
    </row>
    <row r="96" spans="1:22" x14ac:dyDescent="0.25">
      <c r="A96" t="s">
        <v>97</v>
      </c>
      <c r="B96">
        <v>1</v>
      </c>
      <c r="C96">
        <v>2</v>
      </c>
      <c r="D96">
        <f t="shared" si="40"/>
        <v>3</v>
      </c>
      <c r="E96">
        <v>5</v>
      </c>
      <c r="F96">
        <v>25</v>
      </c>
      <c r="G96">
        <f t="shared" si="41"/>
        <v>30</v>
      </c>
      <c r="H96">
        <v>0</v>
      </c>
      <c r="I96">
        <v>1</v>
      </c>
      <c r="J96">
        <f t="shared" si="42"/>
        <v>1</v>
      </c>
      <c r="K96">
        <f t="shared" si="43"/>
        <v>5</v>
      </c>
      <c r="L96">
        <f t="shared" si="44"/>
        <v>26</v>
      </c>
      <c r="M96">
        <f t="shared" si="45"/>
        <v>31</v>
      </c>
      <c r="N96">
        <f>IF(K336&gt;0,ROUND((K96/K336) * 100, 4), "")</f>
        <v>1.9400000000000001E-2</v>
      </c>
      <c r="O96">
        <f>IF(L336&gt;0,ROUND((L96/L336) * 100, 4), "")</f>
        <v>0.28749999999999998</v>
      </c>
      <c r="P96">
        <f>IF(M336&gt;0,ROUND((M96/M336) * 100, 4), "")</f>
        <v>8.9099999999999999E-2</v>
      </c>
      <c r="Q96">
        <v>6</v>
      </c>
      <c r="R96">
        <v>20</v>
      </c>
      <c r="S96">
        <f t="shared" si="46"/>
        <v>26</v>
      </c>
      <c r="T96">
        <f t="shared" si="47"/>
        <v>0</v>
      </c>
      <c r="U96">
        <f t="shared" si="48"/>
        <v>8</v>
      </c>
      <c r="V96">
        <f t="shared" si="49"/>
        <v>8</v>
      </c>
    </row>
    <row r="98" spans="1:22" x14ac:dyDescent="0.25">
      <c r="A98" s="8" t="s">
        <v>98</v>
      </c>
      <c r="B98" s="8" t="s">
        <v>98</v>
      </c>
      <c r="C98" s="8" t="s">
        <v>98</v>
      </c>
      <c r="D98" s="8" t="s">
        <v>98</v>
      </c>
      <c r="E98" s="8" t="s">
        <v>98</v>
      </c>
      <c r="F98" s="8" t="s">
        <v>98</v>
      </c>
      <c r="G98" s="8" t="s">
        <v>98</v>
      </c>
      <c r="H98" s="8" t="s">
        <v>98</v>
      </c>
      <c r="I98" s="8" t="s">
        <v>98</v>
      </c>
      <c r="J98" s="8" t="s">
        <v>98</v>
      </c>
      <c r="K98" s="8" t="s">
        <v>98</v>
      </c>
      <c r="L98" s="8" t="s">
        <v>98</v>
      </c>
      <c r="M98" s="8" t="s">
        <v>98</v>
      </c>
      <c r="N98" s="8" t="s">
        <v>98</v>
      </c>
      <c r="O98" s="8" t="s">
        <v>98</v>
      </c>
      <c r="P98" s="8" t="s">
        <v>98</v>
      </c>
      <c r="Q98" s="8" t="s">
        <v>98</v>
      </c>
      <c r="R98" s="8" t="s">
        <v>98</v>
      </c>
      <c r="S98" s="8" t="s">
        <v>98</v>
      </c>
      <c r="T98" s="8" t="s">
        <v>98</v>
      </c>
      <c r="U98" s="8" t="s">
        <v>98</v>
      </c>
      <c r="V98" s="8" t="s">
        <v>98</v>
      </c>
    </row>
    <row r="99" spans="1:22" x14ac:dyDescent="0.25">
      <c r="A99" t="s">
        <v>99</v>
      </c>
      <c r="B99">
        <v>0</v>
      </c>
      <c r="C99">
        <v>0</v>
      </c>
      <c r="D99">
        <f t="shared" ref="D99:D112" si="50">B99+C99</f>
        <v>0</v>
      </c>
      <c r="E99">
        <v>1</v>
      </c>
      <c r="F99">
        <v>1</v>
      </c>
      <c r="G99">
        <f t="shared" ref="G99:G112" si="51">E99+F99</f>
        <v>2</v>
      </c>
      <c r="H99">
        <v>0</v>
      </c>
      <c r="I99">
        <v>0</v>
      </c>
      <c r="J99">
        <f t="shared" ref="J99:J112" si="52">H99+I99</f>
        <v>0</v>
      </c>
      <c r="K99">
        <f t="shared" ref="K99:K112" si="53">E99 + H99</f>
        <v>1</v>
      </c>
      <c r="L99">
        <f t="shared" ref="L99:L112" si="54">F99 + I99</f>
        <v>1</v>
      </c>
      <c r="M99">
        <f t="shared" ref="M99:M112" si="55">K99 + L99</f>
        <v>2</v>
      </c>
      <c r="N99">
        <f>IF(K336&gt;0,ROUND((K99/K336) * 100, 4), "")</f>
        <v>3.8999999999999998E-3</v>
      </c>
      <c r="O99">
        <f>IF(L336&gt;0,ROUND((L99/L336) * 100, 4), "")</f>
        <v>1.11E-2</v>
      </c>
      <c r="P99">
        <f>IF(M336&gt;0,ROUND((M99/M336) * 100, 4), "")</f>
        <v>5.7000000000000002E-3</v>
      </c>
      <c r="Q99">
        <v>1</v>
      </c>
      <c r="R99">
        <v>1</v>
      </c>
      <c r="S99">
        <f t="shared" ref="S99:S112" si="56">Q99 + R99</f>
        <v>2</v>
      </c>
      <c r="T99">
        <f t="shared" ref="T99:T112" si="57">B99 + K99 - Q99</f>
        <v>0</v>
      </c>
      <c r="U99">
        <f t="shared" ref="U99:U112" si="58">C99 + L99 - R99</f>
        <v>0</v>
      </c>
      <c r="V99">
        <f t="shared" ref="V99:V112" si="59">T99 + U99</f>
        <v>0</v>
      </c>
    </row>
    <row r="100" spans="1:22" x14ac:dyDescent="0.25">
      <c r="A100" t="s">
        <v>100</v>
      </c>
      <c r="B100">
        <v>0</v>
      </c>
      <c r="C100">
        <v>0</v>
      </c>
      <c r="D100">
        <f t="shared" si="50"/>
        <v>0</v>
      </c>
      <c r="E100">
        <v>0</v>
      </c>
      <c r="F100">
        <v>0</v>
      </c>
      <c r="G100">
        <f t="shared" si="51"/>
        <v>0</v>
      </c>
      <c r="H100">
        <v>0</v>
      </c>
      <c r="I100">
        <v>0</v>
      </c>
      <c r="J100">
        <f t="shared" si="52"/>
        <v>0</v>
      </c>
      <c r="K100">
        <f t="shared" si="53"/>
        <v>0</v>
      </c>
      <c r="L100">
        <f t="shared" si="54"/>
        <v>0</v>
      </c>
      <c r="M100">
        <f t="shared" si="55"/>
        <v>0</v>
      </c>
      <c r="N100">
        <f>IF(K336&gt;0,ROUND((K100/K336) * 100, 4), "")</f>
        <v>0</v>
      </c>
      <c r="O100">
        <f>IF(L336&gt;0,ROUND((L100/L336) * 100, 4), "")</f>
        <v>0</v>
      </c>
      <c r="P100">
        <f>IF(M336&gt;0,ROUND((M100/M336) * 100, 4), "")</f>
        <v>0</v>
      </c>
      <c r="Q100">
        <v>0</v>
      </c>
      <c r="R100">
        <v>0</v>
      </c>
      <c r="S100">
        <f t="shared" si="56"/>
        <v>0</v>
      </c>
      <c r="T100">
        <f t="shared" si="57"/>
        <v>0</v>
      </c>
      <c r="U100">
        <f t="shared" si="58"/>
        <v>0</v>
      </c>
      <c r="V100">
        <f t="shared" si="59"/>
        <v>0</v>
      </c>
    </row>
    <row r="101" spans="1:22" x14ac:dyDescent="0.25">
      <c r="A101" t="s">
        <v>101</v>
      </c>
      <c r="B101">
        <v>5</v>
      </c>
      <c r="C101">
        <v>18</v>
      </c>
      <c r="D101">
        <f t="shared" si="50"/>
        <v>23</v>
      </c>
      <c r="E101">
        <v>4</v>
      </c>
      <c r="F101">
        <v>55</v>
      </c>
      <c r="G101">
        <f t="shared" si="51"/>
        <v>59</v>
      </c>
      <c r="H101">
        <v>0</v>
      </c>
      <c r="I101">
        <v>4</v>
      </c>
      <c r="J101">
        <f t="shared" si="52"/>
        <v>4</v>
      </c>
      <c r="K101">
        <f t="shared" si="53"/>
        <v>4</v>
      </c>
      <c r="L101">
        <f t="shared" si="54"/>
        <v>59</v>
      </c>
      <c r="M101">
        <f t="shared" si="55"/>
        <v>63</v>
      </c>
      <c r="N101">
        <f>IF(K336&gt;0,ROUND((K101/K336) * 100, 4), "")</f>
        <v>1.55E-2</v>
      </c>
      <c r="O101">
        <f>IF(L336&gt;0,ROUND((L101/L336) * 100, 4), "")</f>
        <v>0.65249999999999997</v>
      </c>
      <c r="P101">
        <f>IF(M336&gt;0,ROUND((M101/M336) * 100, 4), "")</f>
        <v>0.18099999999999999</v>
      </c>
      <c r="Q101">
        <v>3</v>
      </c>
      <c r="R101">
        <v>46</v>
      </c>
      <c r="S101">
        <f t="shared" si="56"/>
        <v>49</v>
      </c>
      <c r="T101">
        <f t="shared" si="57"/>
        <v>6</v>
      </c>
      <c r="U101">
        <f t="shared" si="58"/>
        <v>31</v>
      </c>
      <c r="V101">
        <f t="shared" si="59"/>
        <v>37</v>
      </c>
    </row>
    <row r="102" spans="1:22" x14ac:dyDescent="0.25">
      <c r="A102" t="s">
        <v>102</v>
      </c>
      <c r="B102">
        <v>0</v>
      </c>
      <c r="C102">
        <v>0</v>
      </c>
      <c r="D102">
        <f t="shared" si="50"/>
        <v>0</v>
      </c>
      <c r="E102">
        <v>1</v>
      </c>
      <c r="F102">
        <v>0</v>
      </c>
      <c r="G102">
        <f t="shared" si="51"/>
        <v>1</v>
      </c>
      <c r="H102">
        <v>0</v>
      </c>
      <c r="I102">
        <v>0</v>
      </c>
      <c r="J102">
        <f t="shared" si="52"/>
        <v>0</v>
      </c>
      <c r="K102">
        <f t="shared" si="53"/>
        <v>1</v>
      </c>
      <c r="L102">
        <f t="shared" si="54"/>
        <v>0</v>
      </c>
      <c r="M102">
        <f t="shared" si="55"/>
        <v>1</v>
      </c>
      <c r="N102">
        <f>IF(K336&gt;0,ROUND((K102/K336) * 100, 4), "")</f>
        <v>3.8999999999999998E-3</v>
      </c>
      <c r="O102">
        <f>IF(L336&gt;0,ROUND((L102/L336) * 100, 4), "")</f>
        <v>0</v>
      </c>
      <c r="P102">
        <f>IF(M336&gt;0,ROUND((M102/M336) * 100, 4), "")</f>
        <v>2.8999999999999998E-3</v>
      </c>
      <c r="Q102">
        <v>0</v>
      </c>
      <c r="R102">
        <v>0</v>
      </c>
      <c r="S102">
        <f t="shared" si="56"/>
        <v>0</v>
      </c>
      <c r="T102">
        <f t="shared" si="57"/>
        <v>1</v>
      </c>
      <c r="U102">
        <f t="shared" si="58"/>
        <v>0</v>
      </c>
      <c r="V102">
        <f t="shared" si="59"/>
        <v>1</v>
      </c>
    </row>
    <row r="103" spans="1:22" x14ac:dyDescent="0.25">
      <c r="A103" t="s">
        <v>103</v>
      </c>
      <c r="B103">
        <v>36</v>
      </c>
      <c r="C103">
        <v>58</v>
      </c>
      <c r="D103">
        <f t="shared" si="50"/>
        <v>94</v>
      </c>
      <c r="E103">
        <v>102</v>
      </c>
      <c r="F103">
        <v>54</v>
      </c>
      <c r="G103">
        <f t="shared" si="51"/>
        <v>156</v>
      </c>
      <c r="H103">
        <v>0</v>
      </c>
      <c r="I103">
        <v>2</v>
      </c>
      <c r="J103">
        <f t="shared" si="52"/>
        <v>2</v>
      </c>
      <c r="K103">
        <f t="shared" si="53"/>
        <v>102</v>
      </c>
      <c r="L103">
        <f t="shared" si="54"/>
        <v>56</v>
      </c>
      <c r="M103">
        <f t="shared" si="55"/>
        <v>158</v>
      </c>
      <c r="N103">
        <f>IF(K336&gt;0,ROUND((K103/K336) * 100, 4), "")</f>
        <v>0.39579999999999999</v>
      </c>
      <c r="O103">
        <f>IF(L336&gt;0,ROUND((L103/L336) * 100, 4), "")</f>
        <v>0.61929999999999996</v>
      </c>
      <c r="P103">
        <f>IF(M336&gt;0,ROUND((M103/M336) * 100, 4), "")</f>
        <v>0.45390000000000003</v>
      </c>
      <c r="Q103">
        <v>85</v>
      </c>
      <c r="R103">
        <v>51</v>
      </c>
      <c r="S103">
        <f t="shared" si="56"/>
        <v>136</v>
      </c>
      <c r="T103">
        <f t="shared" si="57"/>
        <v>53</v>
      </c>
      <c r="U103">
        <f t="shared" si="58"/>
        <v>63</v>
      </c>
      <c r="V103">
        <f t="shared" si="59"/>
        <v>116</v>
      </c>
    </row>
    <row r="104" spans="1:22" x14ac:dyDescent="0.25">
      <c r="A104" t="s">
        <v>104</v>
      </c>
      <c r="B104">
        <v>8</v>
      </c>
      <c r="C104">
        <v>8</v>
      </c>
      <c r="D104">
        <f t="shared" si="50"/>
        <v>16</v>
      </c>
      <c r="E104">
        <v>77</v>
      </c>
      <c r="F104">
        <v>120</v>
      </c>
      <c r="G104">
        <f t="shared" si="51"/>
        <v>197</v>
      </c>
      <c r="H104">
        <v>3</v>
      </c>
      <c r="I104">
        <v>2</v>
      </c>
      <c r="J104">
        <f t="shared" si="52"/>
        <v>5</v>
      </c>
      <c r="K104">
        <f t="shared" si="53"/>
        <v>80</v>
      </c>
      <c r="L104">
        <f t="shared" si="54"/>
        <v>122</v>
      </c>
      <c r="M104">
        <f t="shared" si="55"/>
        <v>202</v>
      </c>
      <c r="N104">
        <f>IF(K336&gt;0,ROUND((K104/K336) * 100, 4), "")</f>
        <v>0.3105</v>
      </c>
      <c r="O104">
        <f>IF(L336&gt;0,ROUND((L104/L336) * 100, 4), "")</f>
        <v>1.3492999999999999</v>
      </c>
      <c r="P104">
        <f>IF(M336&gt;0,ROUND((M104/M336) * 100, 4), "")</f>
        <v>0.58030000000000004</v>
      </c>
      <c r="Q104">
        <v>80</v>
      </c>
      <c r="R104">
        <v>109</v>
      </c>
      <c r="S104">
        <f t="shared" si="56"/>
        <v>189</v>
      </c>
      <c r="T104">
        <f t="shared" si="57"/>
        <v>8</v>
      </c>
      <c r="U104">
        <f t="shared" si="58"/>
        <v>21</v>
      </c>
      <c r="V104">
        <f t="shared" si="59"/>
        <v>29</v>
      </c>
    </row>
    <row r="105" spans="1:22" x14ac:dyDescent="0.25">
      <c r="A105" t="s">
        <v>105</v>
      </c>
      <c r="B105">
        <v>0</v>
      </c>
      <c r="C105">
        <v>0</v>
      </c>
      <c r="D105">
        <f t="shared" si="50"/>
        <v>0</v>
      </c>
      <c r="E105">
        <v>1</v>
      </c>
      <c r="F105">
        <v>10</v>
      </c>
      <c r="G105">
        <f t="shared" si="51"/>
        <v>11</v>
      </c>
      <c r="H105">
        <v>0</v>
      </c>
      <c r="I105">
        <v>2</v>
      </c>
      <c r="J105">
        <f t="shared" si="52"/>
        <v>2</v>
      </c>
      <c r="K105">
        <f t="shared" si="53"/>
        <v>1</v>
      </c>
      <c r="L105">
        <f t="shared" si="54"/>
        <v>12</v>
      </c>
      <c r="M105">
        <f t="shared" si="55"/>
        <v>13</v>
      </c>
      <c r="N105">
        <f>IF(K336&gt;0,ROUND((K105/K336) * 100, 4), "")</f>
        <v>3.8999999999999998E-3</v>
      </c>
      <c r="O105">
        <f>IF(L336&gt;0,ROUND((L105/L336) * 100, 4), "")</f>
        <v>0.13270000000000001</v>
      </c>
      <c r="P105">
        <f>IF(M336&gt;0,ROUND((M105/M336) * 100, 4), "")</f>
        <v>3.73E-2</v>
      </c>
      <c r="Q105">
        <v>1</v>
      </c>
      <c r="R105">
        <v>11</v>
      </c>
      <c r="S105">
        <f t="shared" si="56"/>
        <v>12</v>
      </c>
      <c r="T105">
        <f t="shared" si="57"/>
        <v>0</v>
      </c>
      <c r="U105">
        <f t="shared" si="58"/>
        <v>1</v>
      </c>
      <c r="V105">
        <f t="shared" si="59"/>
        <v>1</v>
      </c>
    </row>
    <row r="106" spans="1:22" x14ac:dyDescent="0.25">
      <c r="A106" t="s">
        <v>106</v>
      </c>
      <c r="B106">
        <v>5</v>
      </c>
      <c r="C106">
        <v>4</v>
      </c>
      <c r="D106">
        <f t="shared" si="50"/>
        <v>9</v>
      </c>
      <c r="E106">
        <v>41</v>
      </c>
      <c r="F106">
        <v>30</v>
      </c>
      <c r="G106">
        <f t="shared" si="51"/>
        <v>71</v>
      </c>
      <c r="H106">
        <v>1</v>
      </c>
      <c r="I106">
        <v>4</v>
      </c>
      <c r="J106">
        <f t="shared" si="52"/>
        <v>5</v>
      </c>
      <c r="K106">
        <f t="shared" si="53"/>
        <v>42</v>
      </c>
      <c r="L106">
        <f t="shared" si="54"/>
        <v>34</v>
      </c>
      <c r="M106">
        <f t="shared" si="55"/>
        <v>76</v>
      </c>
      <c r="N106">
        <f>IF(K336&gt;0,ROUND((K106/K336) * 100, 4), "")</f>
        <v>0.16300000000000001</v>
      </c>
      <c r="O106">
        <f>IF(L336&gt;0,ROUND((L106/L336) * 100, 4), "")</f>
        <v>0.376</v>
      </c>
      <c r="P106">
        <f>IF(M336&gt;0,ROUND((M106/M336) * 100, 4), "")</f>
        <v>0.21829999999999999</v>
      </c>
      <c r="Q106">
        <v>43</v>
      </c>
      <c r="R106">
        <v>33</v>
      </c>
      <c r="S106">
        <f t="shared" si="56"/>
        <v>76</v>
      </c>
      <c r="T106">
        <f t="shared" si="57"/>
        <v>4</v>
      </c>
      <c r="U106">
        <f t="shared" si="58"/>
        <v>5</v>
      </c>
      <c r="V106">
        <f t="shared" si="59"/>
        <v>9</v>
      </c>
    </row>
    <row r="107" spans="1:22" x14ac:dyDescent="0.25">
      <c r="A107" t="s">
        <v>107</v>
      </c>
      <c r="B107">
        <v>5</v>
      </c>
      <c r="C107">
        <v>5</v>
      </c>
      <c r="D107">
        <f t="shared" si="50"/>
        <v>10</v>
      </c>
      <c r="E107">
        <v>31</v>
      </c>
      <c r="F107">
        <v>27</v>
      </c>
      <c r="G107">
        <f t="shared" si="51"/>
        <v>58</v>
      </c>
      <c r="H107">
        <v>1</v>
      </c>
      <c r="I107">
        <v>0</v>
      </c>
      <c r="J107">
        <f t="shared" si="52"/>
        <v>1</v>
      </c>
      <c r="K107">
        <f t="shared" si="53"/>
        <v>32</v>
      </c>
      <c r="L107">
        <f t="shared" si="54"/>
        <v>27</v>
      </c>
      <c r="M107">
        <f t="shared" si="55"/>
        <v>59</v>
      </c>
      <c r="N107">
        <f>IF(K336&gt;0,ROUND((K107/K336) * 100, 4), "")</f>
        <v>0.1242</v>
      </c>
      <c r="O107">
        <f>IF(L336&gt;0,ROUND((L107/L336) * 100, 4), "")</f>
        <v>0.29859999999999998</v>
      </c>
      <c r="P107">
        <f>IF(M336&gt;0,ROUND((M107/M336) * 100, 4), "")</f>
        <v>0.16950000000000001</v>
      </c>
      <c r="Q107">
        <v>33</v>
      </c>
      <c r="R107">
        <v>30</v>
      </c>
      <c r="S107">
        <f t="shared" si="56"/>
        <v>63</v>
      </c>
      <c r="T107">
        <f t="shared" si="57"/>
        <v>4</v>
      </c>
      <c r="U107">
        <f t="shared" si="58"/>
        <v>2</v>
      </c>
      <c r="V107">
        <f t="shared" si="59"/>
        <v>6</v>
      </c>
    </row>
    <row r="108" spans="1:22" x14ac:dyDescent="0.25">
      <c r="A108" t="s">
        <v>108</v>
      </c>
      <c r="B108">
        <v>0</v>
      </c>
      <c r="C108">
        <v>0</v>
      </c>
      <c r="D108">
        <f t="shared" si="50"/>
        <v>0</v>
      </c>
      <c r="E108">
        <v>0</v>
      </c>
      <c r="F108">
        <v>12</v>
      </c>
      <c r="G108">
        <f t="shared" si="51"/>
        <v>12</v>
      </c>
      <c r="H108">
        <v>0</v>
      </c>
      <c r="I108">
        <v>5</v>
      </c>
      <c r="J108">
        <f t="shared" si="52"/>
        <v>5</v>
      </c>
      <c r="K108">
        <f t="shared" si="53"/>
        <v>0</v>
      </c>
      <c r="L108">
        <f t="shared" si="54"/>
        <v>17</v>
      </c>
      <c r="M108">
        <f t="shared" si="55"/>
        <v>17</v>
      </c>
      <c r="N108">
        <f>IF(K336&gt;0,ROUND((K108/K336) * 100, 4), "")</f>
        <v>0</v>
      </c>
      <c r="O108">
        <f>IF(L336&gt;0,ROUND((L108/L336) * 100, 4), "")</f>
        <v>0.188</v>
      </c>
      <c r="P108">
        <f>IF(M336&gt;0,ROUND((M108/M336) * 100, 4), "")</f>
        <v>4.8800000000000003E-2</v>
      </c>
      <c r="Q108">
        <v>0</v>
      </c>
      <c r="R108">
        <v>13</v>
      </c>
      <c r="S108">
        <f t="shared" si="56"/>
        <v>13</v>
      </c>
      <c r="T108">
        <f t="shared" si="57"/>
        <v>0</v>
      </c>
      <c r="U108">
        <f t="shared" si="58"/>
        <v>4</v>
      </c>
      <c r="V108">
        <f t="shared" si="59"/>
        <v>4</v>
      </c>
    </row>
    <row r="109" spans="1:22" x14ac:dyDescent="0.25">
      <c r="A109" t="s">
        <v>109</v>
      </c>
      <c r="B109">
        <v>0</v>
      </c>
      <c r="C109">
        <v>5</v>
      </c>
      <c r="D109">
        <f t="shared" si="50"/>
        <v>5</v>
      </c>
      <c r="E109">
        <v>0</v>
      </c>
      <c r="F109">
        <v>0</v>
      </c>
      <c r="G109">
        <f t="shared" si="51"/>
        <v>0</v>
      </c>
      <c r="H109">
        <v>0</v>
      </c>
      <c r="I109">
        <v>0</v>
      </c>
      <c r="J109">
        <f t="shared" si="52"/>
        <v>0</v>
      </c>
      <c r="K109">
        <f t="shared" si="53"/>
        <v>0</v>
      </c>
      <c r="L109">
        <f t="shared" si="54"/>
        <v>0</v>
      </c>
      <c r="M109">
        <f t="shared" si="55"/>
        <v>0</v>
      </c>
      <c r="N109">
        <f>IF(K336&gt;0,ROUND((K109/K336) * 100, 4), "")</f>
        <v>0</v>
      </c>
      <c r="O109">
        <f>IF(L336&gt;0,ROUND((L109/L336) * 100, 4), "")</f>
        <v>0</v>
      </c>
      <c r="P109">
        <f>IF(M336&gt;0,ROUND((M109/M336) * 100, 4), "")</f>
        <v>0</v>
      </c>
      <c r="Q109">
        <v>0</v>
      </c>
      <c r="R109">
        <v>5</v>
      </c>
      <c r="S109">
        <f t="shared" si="56"/>
        <v>5</v>
      </c>
      <c r="T109">
        <f t="shared" si="57"/>
        <v>0</v>
      </c>
      <c r="U109">
        <f t="shared" si="58"/>
        <v>0</v>
      </c>
      <c r="V109">
        <f t="shared" si="59"/>
        <v>0</v>
      </c>
    </row>
    <row r="110" spans="1:22" x14ac:dyDescent="0.25">
      <c r="A110" t="s">
        <v>110</v>
      </c>
      <c r="B110">
        <v>0</v>
      </c>
      <c r="C110">
        <v>0</v>
      </c>
      <c r="D110">
        <f t="shared" si="50"/>
        <v>0</v>
      </c>
      <c r="E110">
        <v>0</v>
      </c>
      <c r="F110">
        <v>8</v>
      </c>
      <c r="G110">
        <f t="shared" si="51"/>
        <v>8</v>
      </c>
      <c r="H110">
        <v>0</v>
      </c>
      <c r="I110">
        <v>0</v>
      </c>
      <c r="J110">
        <f t="shared" si="52"/>
        <v>0</v>
      </c>
      <c r="K110">
        <f t="shared" si="53"/>
        <v>0</v>
      </c>
      <c r="L110">
        <f t="shared" si="54"/>
        <v>8</v>
      </c>
      <c r="M110">
        <f t="shared" si="55"/>
        <v>8</v>
      </c>
      <c r="N110">
        <f>IF(K336&gt;0,ROUND((K110/K336) * 100, 4), "")</f>
        <v>0</v>
      </c>
      <c r="O110">
        <f>IF(L336&gt;0,ROUND((L110/L336) * 100, 4), "")</f>
        <v>8.8499999999999995E-2</v>
      </c>
      <c r="P110">
        <f>IF(M336&gt;0,ROUND((M110/M336) * 100, 4), "")</f>
        <v>2.3E-2</v>
      </c>
      <c r="Q110">
        <v>0</v>
      </c>
      <c r="R110">
        <v>7</v>
      </c>
      <c r="S110">
        <f t="shared" si="56"/>
        <v>7</v>
      </c>
      <c r="T110">
        <f t="shared" si="57"/>
        <v>0</v>
      </c>
      <c r="U110">
        <f t="shared" si="58"/>
        <v>1</v>
      </c>
      <c r="V110">
        <f t="shared" si="59"/>
        <v>1</v>
      </c>
    </row>
    <row r="111" spans="1:22" x14ac:dyDescent="0.25">
      <c r="A111" t="s">
        <v>111</v>
      </c>
      <c r="B111">
        <v>0</v>
      </c>
      <c r="C111">
        <v>1</v>
      </c>
      <c r="D111">
        <f t="shared" si="50"/>
        <v>1</v>
      </c>
      <c r="E111">
        <v>1</v>
      </c>
      <c r="F111">
        <v>0</v>
      </c>
      <c r="G111">
        <f t="shared" si="51"/>
        <v>1</v>
      </c>
      <c r="H111">
        <v>0</v>
      </c>
      <c r="I111">
        <v>0</v>
      </c>
      <c r="J111">
        <f t="shared" si="52"/>
        <v>0</v>
      </c>
      <c r="K111">
        <f t="shared" si="53"/>
        <v>1</v>
      </c>
      <c r="L111">
        <f t="shared" si="54"/>
        <v>0</v>
      </c>
      <c r="M111">
        <f t="shared" si="55"/>
        <v>1</v>
      </c>
      <c r="N111">
        <f>IF(K336&gt;0,ROUND((K111/K336) * 100, 4), "")</f>
        <v>3.8999999999999998E-3</v>
      </c>
      <c r="O111">
        <f>IF(L336&gt;0,ROUND((L111/L336) * 100, 4), "")</f>
        <v>0</v>
      </c>
      <c r="P111">
        <f>IF(M336&gt;0,ROUND((M111/M336) * 100, 4), "")</f>
        <v>2.8999999999999998E-3</v>
      </c>
      <c r="Q111">
        <v>1</v>
      </c>
      <c r="R111">
        <v>0</v>
      </c>
      <c r="S111">
        <f t="shared" si="56"/>
        <v>1</v>
      </c>
      <c r="T111">
        <f t="shared" si="57"/>
        <v>0</v>
      </c>
      <c r="U111">
        <f t="shared" si="58"/>
        <v>1</v>
      </c>
      <c r="V111">
        <f t="shared" si="59"/>
        <v>1</v>
      </c>
    </row>
    <row r="112" spans="1:22" x14ac:dyDescent="0.25">
      <c r="A112" t="s">
        <v>112</v>
      </c>
      <c r="B112">
        <v>0</v>
      </c>
      <c r="C112">
        <v>0</v>
      </c>
      <c r="D112">
        <f t="shared" si="50"/>
        <v>0</v>
      </c>
      <c r="E112">
        <v>0</v>
      </c>
      <c r="F112">
        <v>0</v>
      </c>
      <c r="G112">
        <f t="shared" si="51"/>
        <v>0</v>
      </c>
      <c r="H112">
        <v>0</v>
      </c>
      <c r="I112">
        <v>0</v>
      </c>
      <c r="J112">
        <f t="shared" si="52"/>
        <v>0</v>
      </c>
      <c r="K112">
        <f t="shared" si="53"/>
        <v>0</v>
      </c>
      <c r="L112">
        <f t="shared" si="54"/>
        <v>0</v>
      </c>
      <c r="M112">
        <f t="shared" si="55"/>
        <v>0</v>
      </c>
      <c r="N112">
        <f>IF(K336&gt;0,ROUND((K112/K336) * 100, 4), "")</f>
        <v>0</v>
      </c>
      <c r="O112">
        <f>IF(L336&gt;0,ROUND((L112/L336) * 100, 4), "")</f>
        <v>0</v>
      </c>
      <c r="P112">
        <f>IF(M336&gt;0,ROUND((M112/M336) * 100, 4), "")</f>
        <v>0</v>
      </c>
      <c r="Q112">
        <v>0</v>
      </c>
      <c r="R112">
        <v>0</v>
      </c>
      <c r="S112">
        <f t="shared" si="56"/>
        <v>0</v>
      </c>
      <c r="T112">
        <f t="shared" si="57"/>
        <v>0</v>
      </c>
      <c r="U112">
        <f t="shared" si="58"/>
        <v>0</v>
      </c>
      <c r="V112">
        <f t="shared" si="59"/>
        <v>0</v>
      </c>
    </row>
    <row r="114" spans="1:22" x14ac:dyDescent="0.25">
      <c r="A114" s="8" t="s">
        <v>113</v>
      </c>
      <c r="B114" s="8" t="s">
        <v>113</v>
      </c>
      <c r="C114" s="8" t="s">
        <v>113</v>
      </c>
      <c r="D114" s="8" t="s">
        <v>113</v>
      </c>
      <c r="E114" s="8" t="s">
        <v>113</v>
      </c>
      <c r="F114" s="8" t="s">
        <v>113</v>
      </c>
      <c r="G114" s="8" t="s">
        <v>113</v>
      </c>
      <c r="H114" s="8" t="s">
        <v>113</v>
      </c>
      <c r="I114" s="8" t="s">
        <v>113</v>
      </c>
      <c r="J114" s="8" t="s">
        <v>113</v>
      </c>
      <c r="K114" s="8" t="s">
        <v>113</v>
      </c>
      <c r="L114" s="8" t="s">
        <v>113</v>
      </c>
      <c r="M114" s="8" t="s">
        <v>113</v>
      </c>
      <c r="N114" s="8" t="s">
        <v>113</v>
      </c>
      <c r="O114" s="8" t="s">
        <v>113</v>
      </c>
      <c r="P114" s="8" t="s">
        <v>113</v>
      </c>
      <c r="Q114" s="8" t="s">
        <v>113</v>
      </c>
      <c r="R114" s="8" t="s">
        <v>113</v>
      </c>
      <c r="S114" s="8" t="s">
        <v>113</v>
      </c>
      <c r="T114" s="8" t="s">
        <v>113</v>
      </c>
      <c r="U114" s="8" t="s">
        <v>113</v>
      </c>
      <c r="V114" s="8" t="s">
        <v>113</v>
      </c>
    </row>
    <row r="115" spans="1:22" x14ac:dyDescent="0.25">
      <c r="A115" t="s">
        <v>114</v>
      </c>
      <c r="B115">
        <v>5</v>
      </c>
      <c r="C115">
        <v>6</v>
      </c>
      <c r="D115">
        <f t="shared" ref="D115:D122" si="60">B115+C115</f>
        <v>11</v>
      </c>
      <c r="E115">
        <v>53</v>
      </c>
      <c r="F115">
        <v>35</v>
      </c>
      <c r="G115">
        <f t="shared" ref="G115:G122" si="61">E115+F115</f>
        <v>88</v>
      </c>
      <c r="H115">
        <v>0</v>
      </c>
      <c r="I115">
        <v>0</v>
      </c>
      <c r="J115">
        <f t="shared" ref="J115:J122" si="62">H115+I115</f>
        <v>0</v>
      </c>
      <c r="K115">
        <f t="shared" ref="K115:L122" si="63">E115 + H115</f>
        <v>53</v>
      </c>
      <c r="L115">
        <f t="shared" si="63"/>
        <v>35</v>
      </c>
      <c r="M115">
        <f t="shared" ref="M115:M122" si="64">K115 + L115</f>
        <v>88</v>
      </c>
      <c r="N115">
        <f>IF(K336&gt;0,ROUND((K115/K336) * 100, 4), "")</f>
        <v>0.20569999999999999</v>
      </c>
      <c r="O115">
        <f>IF(L336&gt;0,ROUND((L115/L336) * 100, 4), "")</f>
        <v>0.3871</v>
      </c>
      <c r="P115">
        <f>IF(M336&gt;0,ROUND((M115/M336) * 100, 4), "")</f>
        <v>0.25280000000000002</v>
      </c>
      <c r="Q115">
        <v>54</v>
      </c>
      <c r="R115">
        <v>37</v>
      </c>
      <c r="S115">
        <f t="shared" ref="S115:S122" si="65">Q115 + R115</f>
        <v>91</v>
      </c>
      <c r="T115">
        <f t="shared" ref="T115:U122" si="66">B115 + K115 - Q115</f>
        <v>4</v>
      </c>
      <c r="U115">
        <f t="shared" si="66"/>
        <v>4</v>
      </c>
      <c r="V115">
        <f t="shared" ref="V115:V122" si="67">T115 + U115</f>
        <v>8</v>
      </c>
    </row>
    <row r="116" spans="1:22" x14ac:dyDescent="0.25">
      <c r="A116" t="s">
        <v>115</v>
      </c>
      <c r="B116">
        <v>0</v>
      </c>
      <c r="C116">
        <v>0</v>
      </c>
      <c r="D116">
        <f t="shared" si="60"/>
        <v>0</v>
      </c>
      <c r="E116">
        <v>3</v>
      </c>
      <c r="F116">
        <v>5</v>
      </c>
      <c r="G116">
        <f t="shared" si="61"/>
        <v>8</v>
      </c>
      <c r="H116">
        <v>0</v>
      </c>
      <c r="I116">
        <v>0</v>
      </c>
      <c r="J116">
        <f t="shared" si="62"/>
        <v>0</v>
      </c>
      <c r="K116">
        <f t="shared" si="63"/>
        <v>3</v>
      </c>
      <c r="L116">
        <f t="shared" si="63"/>
        <v>5</v>
      </c>
      <c r="M116">
        <f t="shared" si="64"/>
        <v>8</v>
      </c>
      <c r="N116">
        <f>IF(K336&gt;0,ROUND((K116/K336) * 100, 4), "")</f>
        <v>1.1599999999999999E-2</v>
      </c>
      <c r="O116">
        <f>IF(L336&gt;0,ROUND((L116/L336) * 100, 4), "")</f>
        <v>5.5300000000000002E-2</v>
      </c>
      <c r="P116">
        <f>IF(M336&gt;0,ROUND((M116/M336) * 100, 4), "")</f>
        <v>2.3E-2</v>
      </c>
      <c r="Q116">
        <v>3</v>
      </c>
      <c r="R116">
        <v>5</v>
      </c>
      <c r="S116">
        <f t="shared" si="65"/>
        <v>8</v>
      </c>
      <c r="T116">
        <f t="shared" si="66"/>
        <v>0</v>
      </c>
      <c r="U116">
        <f t="shared" si="66"/>
        <v>0</v>
      </c>
      <c r="V116">
        <f t="shared" si="67"/>
        <v>0</v>
      </c>
    </row>
    <row r="117" spans="1:22" x14ac:dyDescent="0.25">
      <c r="A117" t="s">
        <v>116</v>
      </c>
      <c r="B117">
        <v>4</v>
      </c>
      <c r="C117">
        <v>5</v>
      </c>
      <c r="D117">
        <f t="shared" si="60"/>
        <v>9</v>
      </c>
      <c r="E117">
        <v>32</v>
      </c>
      <c r="F117">
        <v>166</v>
      </c>
      <c r="G117">
        <f t="shared" si="61"/>
        <v>198</v>
      </c>
      <c r="H117">
        <v>0</v>
      </c>
      <c r="I117">
        <v>4</v>
      </c>
      <c r="J117">
        <f t="shared" si="62"/>
        <v>4</v>
      </c>
      <c r="K117">
        <f t="shared" si="63"/>
        <v>32</v>
      </c>
      <c r="L117">
        <f t="shared" si="63"/>
        <v>170</v>
      </c>
      <c r="M117">
        <f t="shared" si="64"/>
        <v>202</v>
      </c>
      <c r="N117">
        <f>IF(K336&gt;0,ROUND((K117/K336) * 100, 4), "")</f>
        <v>0.1242</v>
      </c>
      <c r="O117">
        <f>IF(L336&gt;0,ROUND((L117/L336) * 100, 4), "")</f>
        <v>1.8801000000000001</v>
      </c>
      <c r="P117">
        <f>IF(M336&gt;0,ROUND((M117/M336) * 100, 4), "")</f>
        <v>0.58030000000000004</v>
      </c>
      <c r="Q117">
        <v>35</v>
      </c>
      <c r="R117">
        <v>153</v>
      </c>
      <c r="S117">
        <f t="shared" si="65"/>
        <v>188</v>
      </c>
      <c r="T117">
        <f t="shared" si="66"/>
        <v>1</v>
      </c>
      <c r="U117">
        <f t="shared" si="66"/>
        <v>22</v>
      </c>
      <c r="V117">
        <f t="shared" si="67"/>
        <v>23</v>
      </c>
    </row>
    <row r="118" spans="1:22" x14ac:dyDescent="0.25">
      <c r="A118" t="s">
        <v>117</v>
      </c>
      <c r="B118">
        <v>0</v>
      </c>
      <c r="C118">
        <v>3</v>
      </c>
      <c r="D118">
        <f t="shared" si="60"/>
        <v>3</v>
      </c>
      <c r="E118">
        <v>0</v>
      </c>
      <c r="F118">
        <v>16</v>
      </c>
      <c r="G118">
        <f t="shared" si="61"/>
        <v>16</v>
      </c>
      <c r="H118">
        <v>0</v>
      </c>
      <c r="I118">
        <v>0</v>
      </c>
      <c r="J118">
        <f t="shared" si="62"/>
        <v>0</v>
      </c>
      <c r="K118">
        <f t="shared" si="63"/>
        <v>0</v>
      </c>
      <c r="L118">
        <f t="shared" si="63"/>
        <v>16</v>
      </c>
      <c r="M118">
        <f t="shared" si="64"/>
        <v>16</v>
      </c>
      <c r="N118">
        <f>IF(K336&gt;0,ROUND((K118/K336) * 100, 4), "")</f>
        <v>0</v>
      </c>
      <c r="O118">
        <f>IF(L336&gt;0,ROUND((L118/L336) * 100, 4), "")</f>
        <v>0.17699999999999999</v>
      </c>
      <c r="P118">
        <f>IF(M336&gt;0,ROUND((M118/M336) * 100, 4), "")</f>
        <v>4.5999999999999999E-2</v>
      </c>
      <c r="Q118">
        <v>0</v>
      </c>
      <c r="R118">
        <v>18</v>
      </c>
      <c r="S118">
        <f t="shared" si="65"/>
        <v>18</v>
      </c>
      <c r="T118">
        <f t="shared" si="66"/>
        <v>0</v>
      </c>
      <c r="U118">
        <f t="shared" si="66"/>
        <v>1</v>
      </c>
      <c r="V118">
        <f t="shared" si="67"/>
        <v>1</v>
      </c>
    </row>
    <row r="119" spans="1:22" x14ac:dyDescent="0.25">
      <c r="A119" t="s">
        <v>118</v>
      </c>
      <c r="B119">
        <v>0</v>
      </c>
      <c r="C119">
        <v>2</v>
      </c>
      <c r="D119">
        <f t="shared" si="60"/>
        <v>2</v>
      </c>
      <c r="E119">
        <v>0</v>
      </c>
      <c r="F119">
        <v>13</v>
      </c>
      <c r="G119">
        <f t="shared" si="61"/>
        <v>13</v>
      </c>
      <c r="H119">
        <v>0</v>
      </c>
      <c r="I119">
        <v>0</v>
      </c>
      <c r="J119">
        <f t="shared" si="62"/>
        <v>0</v>
      </c>
      <c r="K119">
        <f t="shared" si="63"/>
        <v>0</v>
      </c>
      <c r="L119">
        <f t="shared" si="63"/>
        <v>13</v>
      </c>
      <c r="M119">
        <f t="shared" si="64"/>
        <v>13</v>
      </c>
      <c r="N119">
        <f>IF(K336&gt;0,ROUND((K119/K336) * 100, 4), "")</f>
        <v>0</v>
      </c>
      <c r="O119">
        <f>IF(L336&gt;0,ROUND((L119/L336) * 100, 4), "")</f>
        <v>0.14380000000000001</v>
      </c>
      <c r="P119">
        <f>IF(M336&gt;0,ROUND((M119/M336) * 100, 4), "")</f>
        <v>3.73E-2</v>
      </c>
      <c r="Q119">
        <v>0</v>
      </c>
      <c r="R119">
        <v>14</v>
      </c>
      <c r="S119">
        <f t="shared" si="65"/>
        <v>14</v>
      </c>
      <c r="T119">
        <f t="shared" si="66"/>
        <v>0</v>
      </c>
      <c r="U119">
        <f t="shared" si="66"/>
        <v>1</v>
      </c>
      <c r="V119">
        <f t="shared" si="67"/>
        <v>1</v>
      </c>
    </row>
    <row r="120" spans="1:22" x14ac:dyDescent="0.25">
      <c r="A120" t="s">
        <v>119</v>
      </c>
      <c r="B120">
        <v>0</v>
      </c>
      <c r="C120">
        <v>0</v>
      </c>
      <c r="D120">
        <f t="shared" si="60"/>
        <v>0</v>
      </c>
      <c r="E120">
        <v>21</v>
      </c>
      <c r="F120">
        <v>1</v>
      </c>
      <c r="G120">
        <f t="shared" si="61"/>
        <v>22</v>
      </c>
      <c r="H120">
        <v>7</v>
      </c>
      <c r="I120">
        <v>0</v>
      </c>
      <c r="J120">
        <f t="shared" si="62"/>
        <v>7</v>
      </c>
      <c r="K120">
        <f t="shared" si="63"/>
        <v>28</v>
      </c>
      <c r="L120">
        <f t="shared" si="63"/>
        <v>1</v>
      </c>
      <c r="M120">
        <f t="shared" si="64"/>
        <v>29</v>
      </c>
      <c r="N120">
        <f>IF(K336&gt;0,ROUND((K120/K336) * 100, 4), "")</f>
        <v>0.1087</v>
      </c>
      <c r="O120">
        <f>IF(L336&gt;0,ROUND((L120/L336) * 100, 4), "")</f>
        <v>1.11E-2</v>
      </c>
      <c r="P120">
        <f>IF(M336&gt;0,ROUND((M120/M336) * 100, 4), "")</f>
        <v>8.3299999999999999E-2</v>
      </c>
      <c r="Q120">
        <v>24</v>
      </c>
      <c r="R120">
        <v>0</v>
      </c>
      <c r="S120">
        <f t="shared" si="65"/>
        <v>24</v>
      </c>
      <c r="T120">
        <f t="shared" si="66"/>
        <v>4</v>
      </c>
      <c r="U120">
        <f t="shared" si="66"/>
        <v>1</v>
      </c>
      <c r="V120">
        <f t="shared" si="67"/>
        <v>5</v>
      </c>
    </row>
    <row r="121" spans="1:22" x14ac:dyDescent="0.25">
      <c r="A121" t="s">
        <v>120</v>
      </c>
      <c r="B121">
        <v>0</v>
      </c>
      <c r="C121">
        <v>2</v>
      </c>
      <c r="D121">
        <f t="shared" si="60"/>
        <v>2</v>
      </c>
      <c r="E121">
        <v>5</v>
      </c>
      <c r="F121">
        <v>8</v>
      </c>
      <c r="G121">
        <f t="shared" si="61"/>
        <v>13</v>
      </c>
      <c r="H121">
        <v>0</v>
      </c>
      <c r="I121">
        <v>1</v>
      </c>
      <c r="J121">
        <f t="shared" si="62"/>
        <v>1</v>
      </c>
      <c r="K121">
        <f t="shared" si="63"/>
        <v>5</v>
      </c>
      <c r="L121">
        <f t="shared" si="63"/>
        <v>9</v>
      </c>
      <c r="M121">
        <f t="shared" si="64"/>
        <v>14</v>
      </c>
      <c r="N121">
        <f>IF(K336&gt;0,ROUND((K121/K336) * 100, 4), "")</f>
        <v>1.9400000000000001E-2</v>
      </c>
      <c r="O121">
        <f>IF(L336&gt;0,ROUND((L121/L336) * 100, 4), "")</f>
        <v>9.9500000000000005E-2</v>
      </c>
      <c r="P121">
        <f>IF(M336&gt;0,ROUND((M121/M336) * 100, 4), "")</f>
        <v>4.02E-2</v>
      </c>
      <c r="Q121">
        <v>4</v>
      </c>
      <c r="R121">
        <v>8</v>
      </c>
      <c r="S121">
        <f t="shared" si="65"/>
        <v>12</v>
      </c>
      <c r="T121">
        <f t="shared" si="66"/>
        <v>1</v>
      </c>
      <c r="U121">
        <f t="shared" si="66"/>
        <v>3</v>
      </c>
      <c r="V121">
        <f t="shared" si="67"/>
        <v>4</v>
      </c>
    </row>
    <row r="122" spans="1:22" x14ac:dyDescent="0.25">
      <c r="A122" t="s">
        <v>121</v>
      </c>
      <c r="B122">
        <v>0</v>
      </c>
      <c r="C122">
        <v>0</v>
      </c>
      <c r="D122">
        <f t="shared" si="60"/>
        <v>0</v>
      </c>
      <c r="E122">
        <v>0</v>
      </c>
      <c r="F122">
        <v>3</v>
      </c>
      <c r="G122">
        <f t="shared" si="61"/>
        <v>3</v>
      </c>
      <c r="H122">
        <v>0</v>
      </c>
      <c r="I122">
        <v>2</v>
      </c>
      <c r="J122">
        <f t="shared" si="62"/>
        <v>2</v>
      </c>
      <c r="K122">
        <f t="shared" si="63"/>
        <v>0</v>
      </c>
      <c r="L122">
        <f t="shared" si="63"/>
        <v>5</v>
      </c>
      <c r="M122">
        <f t="shared" si="64"/>
        <v>5</v>
      </c>
      <c r="N122">
        <f>IF(K336&gt;0,ROUND((K122/K336) * 100, 4), "")</f>
        <v>0</v>
      </c>
      <c r="O122">
        <f>IF(L336&gt;0,ROUND((L122/L336) * 100, 4), "")</f>
        <v>5.5300000000000002E-2</v>
      </c>
      <c r="P122">
        <f>IF(M336&gt;0,ROUND((M122/M336) * 100, 4), "")</f>
        <v>1.44E-2</v>
      </c>
      <c r="Q122">
        <v>0</v>
      </c>
      <c r="R122">
        <v>4</v>
      </c>
      <c r="S122">
        <f t="shared" si="65"/>
        <v>4</v>
      </c>
      <c r="T122">
        <f t="shared" si="66"/>
        <v>0</v>
      </c>
      <c r="U122">
        <f t="shared" si="66"/>
        <v>1</v>
      </c>
      <c r="V122">
        <f t="shared" si="67"/>
        <v>1</v>
      </c>
    </row>
    <row r="124" spans="1:22" x14ac:dyDescent="0.25">
      <c r="A124" s="8" t="s">
        <v>122</v>
      </c>
      <c r="B124" s="8" t="s">
        <v>122</v>
      </c>
      <c r="C124" s="8" t="s">
        <v>122</v>
      </c>
      <c r="D124" s="8" t="s">
        <v>122</v>
      </c>
      <c r="E124" s="8" t="s">
        <v>122</v>
      </c>
      <c r="F124" s="8" t="s">
        <v>122</v>
      </c>
      <c r="G124" s="8" t="s">
        <v>122</v>
      </c>
      <c r="H124" s="8" t="s">
        <v>122</v>
      </c>
      <c r="I124" s="8" t="s">
        <v>122</v>
      </c>
      <c r="J124" s="8" t="s">
        <v>122</v>
      </c>
      <c r="K124" s="8" t="s">
        <v>122</v>
      </c>
      <c r="L124" s="8" t="s">
        <v>122</v>
      </c>
      <c r="M124" s="8" t="s">
        <v>122</v>
      </c>
      <c r="N124" s="8" t="s">
        <v>122</v>
      </c>
      <c r="O124" s="8" t="s">
        <v>122</v>
      </c>
      <c r="P124" s="8" t="s">
        <v>122</v>
      </c>
      <c r="Q124" s="8" t="s">
        <v>122</v>
      </c>
      <c r="R124" s="8" t="s">
        <v>122</v>
      </c>
      <c r="S124" s="8" t="s">
        <v>122</v>
      </c>
      <c r="T124" s="8" t="s">
        <v>122</v>
      </c>
      <c r="U124" s="8" t="s">
        <v>122</v>
      </c>
      <c r="V124" s="8" t="s">
        <v>122</v>
      </c>
    </row>
    <row r="125" spans="1:22" x14ac:dyDescent="0.25">
      <c r="A125" t="s">
        <v>123</v>
      </c>
      <c r="B125">
        <v>0</v>
      </c>
      <c r="C125">
        <v>0</v>
      </c>
      <c r="D125">
        <f t="shared" ref="D125:D136" si="68">B125+C125</f>
        <v>0</v>
      </c>
      <c r="E125">
        <v>0</v>
      </c>
      <c r="F125">
        <v>0</v>
      </c>
      <c r="G125">
        <f t="shared" ref="G125:G136" si="69">E125+F125</f>
        <v>0</v>
      </c>
      <c r="H125">
        <v>0</v>
      </c>
      <c r="I125">
        <v>0</v>
      </c>
      <c r="J125">
        <f t="shared" ref="J125:J136" si="70">H125+I125</f>
        <v>0</v>
      </c>
      <c r="K125">
        <f t="shared" ref="K125:K136" si="71">E125 + H125</f>
        <v>0</v>
      </c>
      <c r="L125">
        <f t="shared" ref="L125:L136" si="72">F125 + I125</f>
        <v>0</v>
      </c>
      <c r="M125">
        <f t="shared" ref="M125:M136" si="73">K125 + L125</f>
        <v>0</v>
      </c>
      <c r="N125">
        <f>IF(K336&gt;0,ROUND((K125/K336) * 100, 4), "")</f>
        <v>0</v>
      </c>
      <c r="O125">
        <f>IF(L336&gt;0,ROUND((L125/L336) * 100, 4), "")</f>
        <v>0</v>
      </c>
      <c r="P125">
        <f>IF(M336&gt;0,ROUND((M125/M336) * 100, 4), "")</f>
        <v>0</v>
      </c>
      <c r="Q125">
        <v>0</v>
      </c>
      <c r="R125">
        <v>0</v>
      </c>
      <c r="S125">
        <f t="shared" ref="S125:S136" si="74">Q125 + R125</f>
        <v>0</v>
      </c>
      <c r="T125">
        <f t="shared" ref="T125:T136" si="75">B125 + K125 - Q125</f>
        <v>0</v>
      </c>
      <c r="U125">
        <f t="shared" ref="U125:U136" si="76">C125 + L125 - R125</f>
        <v>0</v>
      </c>
      <c r="V125">
        <f t="shared" ref="V125:V136" si="77">T125 + U125</f>
        <v>0</v>
      </c>
    </row>
    <row r="126" spans="1:22" x14ac:dyDescent="0.25">
      <c r="A126" t="s">
        <v>124</v>
      </c>
      <c r="B126">
        <v>0</v>
      </c>
      <c r="C126">
        <v>0</v>
      </c>
      <c r="D126">
        <f t="shared" si="68"/>
        <v>0</v>
      </c>
      <c r="E126">
        <v>0</v>
      </c>
      <c r="F126">
        <v>0</v>
      </c>
      <c r="G126">
        <f t="shared" si="69"/>
        <v>0</v>
      </c>
      <c r="H126">
        <v>0</v>
      </c>
      <c r="I126">
        <v>0</v>
      </c>
      <c r="J126">
        <f t="shared" si="70"/>
        <v>0</v>
      </c>
      <c r="K126">
        <f t="shared" si="71"/>
        <v>0</v>
      </c>
      <c r="L126">
        <f t="shared" si="72"/>
        <v>0</v>
      </c>
      <c r="M126">
        <f t="shared" si="73"/>
        <v>0</v>
      </c>
      <c r="N126">
        <f>IF(K336&gt;0,ROUND((K126/K336) * 100, 4), "")</f>
        <v>0</v>
      </c>
      <c r="O126">
        <f>IF(L336&gt;0,ROUND((L126/L336) * 100, 4), "")</f>
        <v>0</v>
      </c>
      <c r="P126">
        <f>IF(M336&gt;0,ROUND((M126/M336) * 100, 4), "")</f>
        <v>0</v>
      </c>
      <c r="Q126">
        <v>0</v>
      </c>
      <c r="R126">
        <v>0</v>
      </c>
      <c r="S126">
        <f t="shared" si="74"/>
        <v>0</v>
      </c>
      <c r="T126">
        <f t="shared" si="75"/>
        <v>0</v>
      </c>
      <c r="U126">
        <f t="shared" si="76"/>
        <v>0</v>
      </c>
      <c r="V126">
        <f t="shared" si="77"/>
        <v>0</v>
      </c>
    </row>
    <row r="127" spans="1:22" x14ac:dyDescent="0.25">
      <c r="A127" t="s">
        <v>125</v>
      </c>
      <c r="B127">
        <v>0</v>
      </c>
      <c r="C127">
        <v>0</v>
      </c>
      <c r="D127">
        <f t="shared" si="68"/>
        <v>0</v>
      </c>
      <c r="E127">
        <v>0</v>
      </c>
      <c r="F127">
        <v>0</v>
      </c>
      <c r="G127">
        <f t="shared" si="69"/>
        <v>0</v>
      </c>
      <c r="H127">
        <v>0</v>
      </c>
      <c r="I127">
        <v>0</v>
      </c>
      <c r="J127">
        <f t="shared" si="70"/>
        <v>0</v>
      </c>
      <c r="K127">
        <f t="shared" si="71"/>
        <v>0</v>
      </c>
      <c r="L127">
        <f t="shared" si="72"/>
        <v>0</v>
      </c>
      <c r="M127">
        <f t="shared" si="73"/>
        <v>0</v>
      </c>
      <c r="N127">
        <f>IF(K336&gt;0,ROUND((K127/K336) * 100, 4), "")</f>
        <v>0</v>
      </c>
      <c r="O127">
        <f>IF(L336&gt;0,ROUND((L127/L336) * 100, 4), "")</f>
        <v>0</v>
      </c>
      <c r="P127">
        <f>IF(M336&gt;0,ROUND((M127/M336) * 100, 4), "")</f>
        <v>0</v>
      </c>
      <c r="Q127">
        <v>0</v>
      </c>
      <c r="R127">
        <v>0</v>
      </c>
      <c r="S127">
        <f t="shared" si="74"/>
        <v>0</v>
      </c>
      <c r="T127">
        <f t="shared" si="75"/>
        <v>0</v>
      </c>
      <c r="U127">
        <f t="shared" si="76"/>
        <v>0</v>
      </c>
      <c r="V127">
        <f t="shared" si="77"/>
        <v>0</v>
      </c>
    </row>
    <row r="128" spans="1:22" x14ac:dyDescent="0.25">
      <c r="A128" t="s">
        <v>126</v>
      </c>
      <c r="B128">
        <v>0</v>
      </c>
      <c r="C128">
        <v>0</v>
      </c>
      <c r="D128">
        <f t="shared" si="68"/>
        <v>0</v>
      </c>
      <c r="E128">
        <v>0</v>
      </c>
      <c r="F128">
        <v>1</v>
      </c>
      <c r="G128">
        <f t="shared" si="69"/>
        <v>1</v>
      </c>
      <c r="H128">
        <v>0</v>
      </c>
      <c r="I128">
        <v>0</v>
      </c>
      <c r="J128">
        <f t="shared" si="70"/>
        <v>0</v>
      </c>
      <c r="K128">
        <f t="shared" si="71"/>
        <v>0</v>
      </c>
      <c r="L128">
        <f t="shared" si="72"/>
        <v>1</v>
      </c>
      <c r="M128">
        <f t="shared" si="73"/>
        <v>1</v>
      </c>
      <c r="N128">
        <f>IF(K336&gt;0,ROUND((K128/K336) * 100, 4), "")</f>
        <v>0</v>
      </c>
      <c r="O128">
        <f>IF(L336&gt;0,ROUND((L128/L336) * 100, 4), "")</f>
        <v>1.11E-2</v>
      </c>
      <c r="P128">
        <f>IF(M336&gt;0,ROUND((M128/M336) * 100, 4), "")</f>
        <v>2.8999999999999998E-3</v>
      </c>
      <c r="Q128">
        <v>0</v>
      </c>
      <c r="R128">
        <v>1</v>
      </c>
      <c r="S128">
        <f t="shared" si="74"/>
        <v>1</v>
      </c>
      <c r="T128">
        <f t="shared" si="75"/>
        <v>0</v>
      </c>
      <c r="U128">
        <f t="shared" si="76"/>
        <v>0</v>
      </c>
      <c r="V128">
        <f t="shared" si="77"/>
        <v>0</v>
      </c>
    </row>
    <row r="129" spans="1:22" x14ac:dyDescent="0.25">
      <c r="A129" t="s">
        <v>127</v>
      </c>
      <c r="B129">
        <v>1</v>
      </c>
      <c r="C129">
        <v>0</v>
      </c>
      <c r="D129">
        <f t="shared" si="68"/>
        <v>1</v>
      </c>
      <c r="E129">
        <v>2</v>
      </c>
      <c r="F129">
        <v>8</v>
      </c>
      <c r="G129">
        <f t="shared" si="69"/>
        <v>10</v>
      </c>
      <c r="H129">
        <v>0</v>
      </c>
      <c r="I129">
        <v>2</v>
      </c>
      <c r="J129">
        <f t="shared" si="70"/>
        <v>2</v>
      </c>
      <c r="K129">
        <f t="shared" si="71"/>
        <v>2</v>
      </c>
      <c r="L129">
        <f t="shared" si="72"/>
        <v>10</v>
      </c>
      <c r="M129">
        <f t="shared" si="73"/>
        <v>12</v>
      </c>
      <c r="N129">
        <f>IF(K336&gt;0,ROUND((K129/K336) * 100, 4), "")</f>
        <v>7.7999999999999996E-3</v>
      </c>
      <c r="O129">
        <f>IF(L336&gt;0,ROUND((L129/L336) * 100, 4), "")</f>
        <v>0.1106</v>
      </c>
      <c r="P129">
        <f>IF(M336&gt;0,ROUND((M129/M336) * 100, 4), "")</f>
        <v>3.4500000000000003E-2</v>
      </c>
      <c r="Q129">
        <v>3</v>
      </c>
      <c r="R129">
        <v>10</v>
      </c>
      <c r="S129">
        <f t="shared" si="74"/>
        <v>13</v>
      </c>
      <c r="T129">
        <f t="shared" si="75"/>
        <v>0</v>
      </c>
      <c r="U129">
        <f t="shared" si="76"/>
        <v>0</v>
      </c>
      <c r="V129">
        <f t="shared" si="77"/>
        <v>0</v>
      </c>
    </row>
    <row r="130" spans="1:22" x14ac:dyDescent="0.25">
      <c r="A130" t="s">
        <v>128</v>
      </c>
      <c r="B130">
        <v>159</v>
      </c>
      <c r="C130">
        <v>314</v>
      </c>
      <c r="D130">
        <f t="shared" si="68"/>
        <v>473</v>
      </c>
      <c r="E130">
        <v>268</v>
      </c>
      <c r="F130">
        <v>315</v>
      </c>
      <c r="G130">
        <f t="shared" si="69"/>
        <v>583</v>
      </c>
      <c r="H130">
        <v>8</v>
      </c>
      <c r="I130">
        <v>4</v>
      </c>
      <c r="J130">
        <f t="shared" si="70"/>
        <v>12</v>
      </c>
      <c r="K130">
        <f t="shared" si="71"/>
        <v>276</v>
      </c>
      <c r="L130">
        <f t="shared" si="72"/>
        <v>319</v>
      </c>
      <c r="M130">
        <f t="shared" si="73"/>
        <v>595</v>
      </c>
      <c r="N130">
        <f>IF(K336&gt;0,ROUND((K130/K336) * 100, 4), "")</f>
        <v>1.0710999999999999</v>
      </c>
      <c r="O130">
        <f>IF(L336&gt;0,ROUND((L130/L336) * 100, 4), "")</f>
        <v>3.528</v>
      </c>
      <c r="P130">
        <f>IF(M336&gt;0,ROUND((M130/M336) * 100, 4), "")</f>
        <v>1.7093</v>
      </c>
      <c r="Q130">
        <v>213</v>
      </c>
      <c r="R130">
        <v>236</v>
      </c>
      <c r="S130">
        <f t="shared" si="74"/>
        <v>449</v>
      </c>
      <c r="T130">
        <f t="shared" si="75"/>
        <v>222</v>
      </c>
      <c r="U130">
        <f t="shared" si="76"/>
        <v>397</v>
      </c>
      <c r="V130">
        <f t="shared" si="77"/>
        <v>619</v>
      </c>
    </row>
    <row r="131" spans="1:22" x14ac:dyDescent="0.25">
      <c r="A131" t="s">
        <v>129</v>
      </c>
      <c r="B131">
        <v>0</v>
      </c>
      <c r="C131">
        <v>0</v>
      </c>
      <c r="D131">
        <f t="shared" si="68"/>
        <v>0</v>
      </c>
      <c r="E131">
        <v>0</v>
      </c>
      <c r="F131">
        <v>1</v>
      </c>
      <c r="G131">
        <f t="shared" si="69"/>
        <v>1</v>
      </c>
      <c r="H131">
        <v>0</v>
      </c>
      <c r="I131">
        <v>1</v>
      </c>
      <c r="J131">
        <f t="shared" si="70"/>
        <v>1</v>
      </c>
      <c r="K131">
        <f t="shared" si="71"/>
        <v>0</v>
      </c>
      <c r="L131">
        <f t="shared" si="72"/>
        <v>2</v>
      </c>
      <c r="M131">
        <f t="shared" si="73"/>
        <v>2</v>
      </c>
      <c r="N131">
        <f>IF(K336&gt;0,ROUND((K131/K336) * 100, 4), "")</f>
        <v>0</v>
      </c>
      <c r="O131">
        <f>IF(L336&gt;0,ROUND((L131/L336) * 100, 4), "")</f>
        <v>2.2100000000000002E-2</v>
      </c>
      <c r="P131">
        <f>IF(M336&gt;0,ROUND((M131/M336) * 100, 4), "")</f>
        <v>5.7000000000000002E-3</v>
      </c>
      <c r="Q131">
        <v>0</v>
      </c>
      <c r="R131">
        <v>2</v>
      </c>
      <c r="S131">
        <f t="shared" si="74"/>
        <v>2</v>
      </c>
      <c r="T131">
        <f t="shared" si="75"/>
        <v>0</v>
      </c>
      <c r="U131">
        <f t="shared" si="76"/>
        <v>0</v>
      </c>
      <c r="V131">
        <f t="shared" si="77"/>
        <v>0</v>
      </c>
    </row>
    <row r="132" spans="1:22" x14ac:dyDescent="0.25">
      <c r="A132" t="s">
        <v>130</v>
      </c>
      <c r="B132">
        <v>0</v>
      </c>
      <c r="C132">
        <v>12</v>
      </c>
      <c r="D132">
        <f t="shared" si="68"/>
        <v>12</v>
      </c>
      <c r="E132">
        <v>10</v>
      </c>
      <c r="F132">
        <v>3</v>
      </c>
      <c r="G132">
        <f t="shared" si="69"/>
        <v>13</v>
      </c>
      <c r="H132">
        <v>0</v>
      </c>
      <c r="I132">
        <v>2</v>
      </c>
      <c r="J132">
        <f t="shared" si="70"/>
        <v>2</v>
      </c>
      <c r="K132">
        <f t="shared" si="71"/>
        <v>10</v>
      </c>
      <c r="L132">
        <f t="shared" si="72"/>
        <v>5</v>
      </c>
      <c r="M132">
        <f t="shared" si="73"/>
        <v>15</v>
      </c>
      <c r="N132">
        <f>IF(K336&gt;0,ROUND((K132/K336) * 100, 4), "")</f>
        <v>3.8800000000000001E-2</v>
      </c>
      <c r="O132">
        <f>IF(L336&gt;0,ROUND((L132/L336) * 100, 4), "")</f>
        <v>5.5300000000000002E-2</v>
      </c>
      <c r="P132">
        <f>IF(M336&gt;0,ROUND((M132/M336) * 100, 4), "")</f>
        <v>4.3099999999999999E-2</v>
      </c>
      <c r="Q132">
        <v>5</v>
      </c>
      <c r="R132">
        <v>10</v>
      </c>
      <c r="S132">
        <f t="shared" si="74"/>
        <v>15</v>
      </c>
      <c r="T132">
        <f t="shared" si="75"/>
        <v>5</v>
      </c>
      <c r="U132">
        <f t="shared" si="76"/>
        <v>7</v>
      </c>
      <c r="V132">
        <f t="shared" si="77"/>
        <v>12</v>
      </c>
    </row>
    <row r="133" spans="1:22" x14ac:dyDescent="0.25">
      <c r="A133" t="s">
        <v>131</v>
      </c>
      <c r="B133">
        <v>0</v>
      </c>
      <c r="C133">
        <v>0</v>
      </c>
      <c r="D133">
        <f t="shared" si="68"/>
        <v>0</v>
      </c>
      <c r="E133">
        <v>0</v>
      </c>
      <c r="F133">
        <v>0</v>
      </c>
      <c r="G133">
        <f t="shared" si="69"/>
        <v>0</v>
      </c>
      <c r="H133">
        <v>0</v>
      </c>
      <c r="I133">
        <v>0</v>
      </c>
      <c r="J133">
        <f t="shared" si="70"/>
        <v>0</v>
      </c>
      <c r="K133">
        <f t="shared" si="71"/>
        <v>0</v>
      </c>
      <c r="L133">
        <f t="shared" si="72"/>
        <v>0</v>
      </c>
      <c r="M133">
        <f t="shared" si="73"/>
        <v>0</v>
      </c>
      <c r="N133">
        <f>IF(K336&gt;0,ROUND((K133/K336) * 100, 4), "")</f>
        <v>0</v>
      </c>
      <c r="O133">
        <f>IF(L336&gt;0,ROUND((L133/L336) * 100, 4), "")</f>
        <v>0</v>
      </c>
      <c r="P133">
        <f>IF(M336&gt;0,ROUND((M133/M336) * 100, 4), "")</f>
        <v>0</v>
      </c>
      <c r="Q133">
        <v>0</v>
      </c>
      <c r="R133">
        <v>0</v>
      </c>
      <c r="S133">
        <f t="shared" si="74"/>
        <v>0</v>
      </c>
      <c r="T133">
        <f t="shared" si="75"/>
        <v>0</v>
      </c>
      <c r="U133">
        <f t="shared" si="76"/>
        <v>0</v>
      </c>
      <c r="V133">
        <f t="shared" si="77"/>
        <v>0</v>
      </c>
    </row>
    <row r="134" spans="1:22" x14ac:dyDescent="0.25">
      <c r="A134" t="s">
        <v>132</v>
      </c>
      <c r="B134">
        <v>0</v>
      </c>
      <c r="C134">
        <v>0</v>
      </c>
      <c r="D134">
        <f t="shared" si="68"/>
        <v>0</v>
      </c>
      <c r="E134">
        <v>0</v>
      </c>
      <c r="F134">
        <v>1</v>
      </c>
      <c r="G134">
        <f t="shared" si="69"/>
        <v>1</v>
      </c>
      <c r="H134">
        <v>0</v>
      </c>
      <c r="I134">
        <v>0</v>
      </c>
      <c r="J134">
        <f t="shared" si="70"/>
        <v>0</v>
      </c>
      <c r="K134">
        <f t="shared" si="71"/>
        <v>0</v>
      </c>
      <c r="L134">
        <f t="shared" si="72"/>
        <v>1</v>
      </c>
      <c r="M134">
        <f t="shared" si="73"/>
        <v>1</v>
      </c>
      <c r="N134">
        <f>IF(K336&gt;0,ROUND((K134/K336) * 100, 4), "")</f>
        <v>0</v>
      </c>
      <c r="O134">
        <f>IF(L336&gt;0,ROUND((L134/L336) * 100, 4), "")</f>
        <v>1.11E-2</v>
      </c>
      <c r="P134">
        <f>IF(M336&gt;0,ROUND((M134/M336) * 100, 4), "")</f>
        <v>2.8999999999999998E-3</v>
      </c>
      <c r="Q134">
        <v>0</v>
      </c>
      <c r="R134">
        <v>1</v>
      </c>
      <c r="S134">
        <f t="shared" si="74"/>
        <v>1</v>
      </c>
      <c r="T134">
        <f t="shared" si="75"/>
        <v>0</v>
      </c>
      <c r="U134">
        <f t="shared" si="76"/>
        <v>0</v>
      </c>
      <c r="V134">
        <f t="shared" si="77"/>
        <v>0</v>
      </c>
    </row>
    <row r="135" spans="1:22" x14ac:dyDescent="0.25">
      <c r="A135" t="s">
        <v>133</v>
      </c>
      <c r="B135">
        <v>0</v>
      </c>
      <c r="C135">
        <v>3</v>
      </c>
      <c r="D135">
        <f t="shared" si="68"/>
        <v>3</v>
      </c>
      <c r="E135">
        <v>1</v>
      </c>
      <c r="F135">
        <v>1</v>
      </c>
      <c r="G135">
        <f t="shared" si="69"/>
        <v>2</v>
      </c>
      <c r="H135">
        <v>0</v>
      </c>
      <c r="I135">
        <v>0</v>
      </c>
      <c r="J135">
        <f t="shared" si="70"/>
        <v>0</v>
      </c>
      <c r="K135">
        <f t="shared" si="71"/>
        <v>1</v>
      </c>
      <c r="L135">
        <f t="shared" si="72"/>
        <v>1</v>
      </c>
      <c r="M135">
        <f t="shared" si="73"/>
        <v>2</v>
      </c>
      <c r="N135">
        <f>IF(K336&gt;0,ROUND((K135/K336) * 100, 4), "")</f>
        <v>3.8999999999999998E-3</v>
      </c>
      <c r="O135">
        <f>IF(L336&gt;0,ROUND((L135/L336) * 100, 4), "")</f>
        <v>1.11E-2</v>
      </c>
      <c r="P135">
        <f>IF(M336&gt;0,ROUND((M135/M336) * 100, 4), "")</f>
        <v>5.7000000000000002E-3</v>
      </c>
      <c r="Q135">
        <v>1</v>
      </c>
      <c r="R135">
        <v>0</v>
      </c>
      <c r="S135">
        <f t="shared" si="74"/>
        <v>1</v>
      </c>
      <c r="T135">
        <f t="shared" si="75"/>
        <v>0</v>
      </c>
      <c r="U135">
        <f t="shared" si="76"/>
        <v>4</v>
      </c>
      <c r="V135">
        <f t="shared" si="77"/>
        <v>4</v>
      </c>
    </row>
    <row r="136" spans="1:22" x14ac:dyDescent="0.25">
      <c r="A136" t="s">
        <v>134</v>
      </c>
      <c r="B136">
        <v>0</v>
      </c>
      <c r="C136">
        <v>0</v>
      </c>
      <c r="D136">
        <f t="shared" si="68"/>
        <v>0</v>
      </c>
      <c r="E136">
        <v>0</v>
      </c>
      <c r="F136">
        <v>3</v>
      </c>
      <c r="G136">
        <f t="shared" si="69"/>
        <v>3</v>
      </c>
      <c r="H136">
        <v>0</v>
      </c>
      <c r="I136">
        <v>0</v>
      </c>
      <c r="J136">
        <f t="shared" si="70"/>
        <v>0</v>
      </c>
      <c r="K136">
        <f t="shared" si="71"/>
        <v>0</v>
      </c>
      <c r="L136">
        <f t="shared" si="72"/>
        <v>3</v>
      </c>
      <c r="M136">
        <f t="shared" si="73"/>
        <v>3</v>
      </c>
      <c r="N136">
        <f>IF(K336&gt;0,ROUND((K136/K336) * 100, 4), "")</f>
        <v>0</v>
      </c>
      <c r="O136">
        <f>IF(L336&gt;0,ROUND((L136/L336) * 100, 4), "")</f>
        <v>3.32E-2</v>
      </c>
      <c r="P136">
        <f>IF(M336&gt;0,ROUND((M136/M336) * 100, 4), "")</f>
        <v>8.6E-3</v>
      </c>
      <c r="Q136">
        <v>0</v>
      </c>
      <c r="R136">
        <v>3</v>
      </c>
      <c r="S136">
        <f t="shared" si="74"/>
        <v>3</v>
      </c>
      <c r="T136">
        <f t="shared" si="75"/>
        <v>0</v>
      </c>
      <c r="U136">
        <f t="shared" si="76"/>
        <v>0</v>
      </c>
      <c r="V136">
        <f t="shared" si="77"/>
        <v>0</v>
      </c>
    </row>
    <row r="138" spans="1:22" x14ac:dyDescent="0.25">
      <c r="A138" s="8" t="s">
        <v>135</v>
      </c>
      <c r="B138" s="8" t="s">
        <v>135</v>
      </c>
      <c r="C138" s="8" t="s">
        <v>135</v>
      </c>
      <c r="D138" s="8" t="s">
        <v>135</v>
      </c>
      <c r="E138" s="8" t="s">
        <v>135</v>
      </c>
      <c r="F138" s="8" t="s">
        <v>135</v>
      </c>
      <c r="G138" s="8" t="s">
        <v>135</v>
      </c>
      <c r="H138" s="8" t="s">
        <v>135</v>
      </c>
      <c r="I138" s="8" t="s">
        <v>135</v>
      </c>
      <c r="J138" s="8" t="s">
        <v>135</v>
      </c>
      <c r="K138" s="8" t="s">
        <v>135</v>
      </c>
      <c r="L138" s="8" t="s">
        <v>135</v>
      </c>
      <c r="M138" s="8" t="s">
        <v>135</v>
      </c>
      <c r="N138" s="8" t="s">
        <v>135</v>
      </c>
      <c r="O138" s="8" t="s">
        <v>135</v>
      </c>
      <c r="P138" s="8" t="s">
        <v>135</v>
      </c>
      <c r="Q138" s="8" t="s">
        <v>135</v>
      </c>
      <c r="R138" s="8" t="s">
        <v>135</v>
      </c>
      <c r="S138" s="8" t="s">
        <v>135</v>
      </c>
      <c r="T138" s="8" t="s">
        <v>135</v>
      </c>
      <c r="U138" s="8" t="s">
        <v>135</v>
      </c>
      <c r="V138" s="8" t="s">
        <v>135</v>
      </c>
    </row>
    <row r="139" spans="1:22" x14ac:dyDescent="0.25">
      <c r="A139" t="s">
        <v>136</v>
      </c>
      <c r="B139">
        <v>0</v>
      </c>
      <c r="C139">
        <v>0</v>
      </c>
      <c r="D139">
        <f t="shared" ref="D139:D175" si="78">B139+C139</f>
        <v>0</v>
      </c>
      <c r="E139">
        <v>0</v>
      </c>
      <c r="F139">
        <v>0</v>
      </c>
      <c r="G139">
        <f t="shared" ref="G139:G175" si="79">E139+F139</f>
        <v>0</v>
      </c>
      <c r="H139">
        <v>0</v>
      </c>
      <c r="I139">
        <v>0</v>
      </c>
      <c r="J139">
        <f t="shared" ref="J139:J175" si="80">H139+I139</f>
        <v>0</v>
      </c>
      <c r="K139">
        <f t="shared" ref="K139:K175" si="81">E139 + H139</f>
        <v>0</v>
      </c>
      <c r="L139">
        <f t="shared" ref="L139:L175" si="82">F139 + I139</f>
        <v>0</v>
      </c>
      <c r="M139">
        <f t="shared" ref="M139:M175" si="83">K139 + L139</f>
        <v>0</v>
      </c>
      <c r="N139">
        <f>IF(K336&gt;0,ROUND((K139/K336) * 100, 4), "")</f>
        <v>0</v>
      </c>
      <c r="O139">
        <f>IF(L336&gt;0,ROUND((L139/L336) * 100, 4), "")</f>
        <v>0</v>
      </c>
      <c r="P139">
        <f>IF(M336&gt;0,ROUND((M139/M336) * 100, 4), "")</f>
        <v>0</v>
      </c>
      <c r="Q139">
        <v>0</v>
      </c>
      <c r="R139">
        <v>0</v>
      </c>
      <c r="S139">
        <f t="shared" ref="S139:S175" si="84">Q139 + R139</f>
        <v>0</v>
      </c>
      <c r="T139">
        <f t="shared" ref="T139:T175" si="85">B139 + K139 - Q139</f>
        <v>0</v>
      </c>
      <c r="U139">
        <f t="shared" ref="U139:U175" si="86">C139 + L139 - R139</f>
        <v>0</v>
      </c>
      <c r="V139">
        <f t="shared" ref="V139:V175" si="87">T139 + U139</f>
        <v>0</v>
      </c>
    </row>
    <row r="140" spans="1:22" x14ac:dyDescent="0.25">
      <c r="A140" t="s">
        <v>137</v>
      </c>
      <c r="B140">
        <v>0</v>
      </c>
      <c r="C140">
        <v>0</v>
      </c>
      <c r="D140">
        <f t="shared" si="78"/>
        <v>0</v>
      </c>
      <c r="E140">
        <v>0</v>
      </c>
      <c r="F140">
        <v>0</v>
      </c>
      <c r="G140">
        <f t="shared" si="79"/>
        <v>0</v>
      </c>
      <c r="H140">
        <v>0</v>
      </c>
      <c r="I140">
        <v>0</v>
      </c>
      <c r="J140">
        <f t="shared" si="80"/>
        <v>0</v>
      </c>
      <c r="K140">
        <f t="shared" si="81"/>
        <v>0</v>
      </c>
      <c r="L140">
        <f t="shared" si="82"/>
        <v>0</v>
      </c>
      <c r="M140">
        <f t="shared" si="83"/>
        <v>0</v>
      </c>
      <c r="N140">
        <f>IF(K336&gt;0,ROUND((K140/K336) * 100, 4), "")</f>
        <v>0</v>
      </c>
      <c r="O140">
        <f>IF(L336&gt;0,ROUND((L140/L336) * 100, 4), "")</f>
        <v>0</v>
      </c>
      <c r="P140">
        <f>IF(M336&gt;0,ROUND((M140/M336) * 100, 4), "")</f>
        <v>0</v>
      </c>
      <c r="Q140">
        <v>0</v>
      </c>
      <c r="R140">
        <v>0</v>
      </c>
      <c r="S140">
        <f t="shared" si="84"/>
        <v>0</v>
      </c>
      <c r="T140">
        <f t="shared" si="85"/>
        <v>0</v>
      </c>
      <c r="U140">
        <f t="shared" si="86"/>
        <v>0</v>
      </c>
      <c r="V140">
        <f t="shared" si="87"/>
        <v>0</v>
      </c>
    </row>
    <row r="141" spans="1:22" x14ac:dyDescent="0.25">
      <c r="A141" t="s">
        <v>138</v>
      </c>
      <c r="B141">
        <v>0</v>
      </c>
      <c r="C141">
        <v>0</v>
      </c>
      <c r="D141">
        <f t="shared" si="78"/>
        <v>0</v>
      </c>
      <c r="E141">
        <v>0</v>
      </c>
      <c r="F141">
        <v>0</v>
      </c>
      <c r="G141">
        <f t="shared" si="79"/>
        <v>0</v>
      </c>
      <c r="H141">
        <v>0</v>
      </c>
      <c r="I141">
        <v>0</v>
      </c>
      <c r="J141">
        <f t="shared" si="80"/>
        <v>0</v>
      </c>
      <c r="K141">
        <f t="shared" si="81"/>
        <v>0</v>
      </c>
      <c r="L141">
        <f t="shared" si="82"/>
        <v>0</v>
      </c>
      <c r="M141">
        <f t="shared" si="83"/>
        <v>0</v>
      </c>
      <c r="N141">
        <f>IF(K336&gt;0,ROUND((K141/K336) * 100, 4), "")</f>
        <v>0</v>
      </c>
      <c r="O141">
        <f>IF(L336&gt;0,ROUND((L141/L336) * 100, 4), "")</f>
        <v>0</v>
      </c>
      <c r="P141">
        <f>IF(M336&gt;0,ROUND((M141/M336) * 100, 4), "")</f>
        <v>0</v>
      </c>
      <c r="Q141">
        <v>0</v>
      </c>
      <c r="R141">
        <v>0</v>
      </c>
      <c r="S141">
        <f t="shared" si="84"/>
        <v>0</v>
      </c>
      <c r="T141">
        <f t="shared" si="85"/>
        <v>0</v>
      </c>
      <c r="U141">
        <f t="shared" si="86"/>
        <v>0</v>
      </c>
      <c r="V141">
        <f t="shared" si="87"/>
        <v>0</v>
      </c>
    </row>
    <row r="142" spans="1:22" x14ac:dyDescent="0.25">
      <c r="A142" t="s">
        <v>139</v>
      </c>
      <c r="B142">
        <v>0</v>
      </c>
      <c r="C142">
        <v>0</v>
      </c>
      <c r="D142">
        <f t="shared" si="78"/>
        <v>0</v>
      </c>
      <c r="E142">
        <v>0</v>
      </c>
      <c r="F142">
        <v>0</v>
      </c>
      <c r="G142">
        <f t="shared" si="79"/>
        <v>0</v>
      </c>
      <c r="H142">
        <v>0</v>
      </c>
      <c r="I142">
        <v>0</v>
      </c>
      <c r="J142">
        <f t="shared" si="80"/>
        <v>0</v>
      </c>
      <c r="K142">
        <f t="shared" si="81"/>
        <v>0</v>
      </c>
      <c r="L142">
        <f t="shared" si="82"/>
        <v>0</v>
      </c>
      <c r="M142">
        <f t="shared" si="83"/>
        <v>0</v>
      </c>
      <c r="N142">
        <f>IF(K336&gt;0,ROUND((K142/K336) * 100, 4), "")</f>
        <v>0</v>
      </c>
      <c r="O142">
        <f>IF(L336&gt;0,ROUND((L142/L336) * 100, 4), "")</f>
        <v>0</v>
      </c>
      <c r="P142">
        <f>IF(M336&gt;0,ROUND((M142/M336) * 100, 4), "")</f>
        <v>0</v>
      </c>
      <c r="Q142">
        <v>0</v>
      </c>
      <c r="R142">
        <v>0</v>
      </c>
      <c r="S142">
        <f t="shared" si="84"/>
        <v>0</v>
      </c>
      <c r="T142">
        <f t="shared" si="85"/>
        <v>0</v>
      </c>
      <c r="U142">
        <f t="shared" si="86"/>
        <v>0</v>
      </c>
      <c r="V142">
        <f t="shared" si="87"/>
        <v>0</v>
      </c>
    </row>
    <row r="143" spans="1:22" x14ac:dyDescent="0.25">
      <c r="A143" t="s">
        <v>140</v>
      </c>
      <c r="B143">
        <v>0</v>
      </c>
      <c r="C143">
        <v>0</v>
      </c>
      <c r="D143">
        <f t="shared" si="78"/>
        <v>0</v>
      </c>
      <c r="E143">
        <v>0</v>
      </c>
      <c r="F143">
        <v>0</v>
      </c>
      <c r="G143">
        <f t="shared" si="79"/>
        <v>0</v>
      </c>
      <c r="H143">
        <v>0</v>
      </c>
      <c r="I143">
        <v>0</v>
      </c>
      <c r="J143">
        <f t="shared" si="80"/>
        <v>0</v>
      </c>
      <c r="K143">
        <f t="shared" si="81"/>
        <v>0</v>
      </c>
      <c r="L143">
        <f t="shared" si="82"/>
        <v>0</v>
      </c>
      <c r="M143">
        <f t="shared" si="83"/>
        <v>0</v>
      </c>
      <c r="N143">
        <f>IF(K336&gt;0,ROUND((K143/K336) * 100, 4), "")</f>
        <v>0</v>
      </c>
      <c r="O143">
        <f>IF(L336&gt;0,ROUND((L143/L336) * 100, 4), "")</f>
        <v>0</v>
      </c>
      <c r="P143">
        <f>IF(M336&gt;0,ROUND((M143/M336) * 100, 4), "")</f>
        <v>0</v>
      </c>
      <c r="Q143">
        <v>0</v>
      </c>
      <c r="R143">
        <v>0</v>
      </c>
      <c r="S143">
        <f t="shared" si="84"/>
        <v>0</v>
      </c>
      <c r="T143">
        <f t="shared" si="85"/>
        <v>0</v>
      </c>
      <c r="U143">
        <f t="shared" si="86"/>
        <v>0</v>
      </c>
      <c r="V143">
        <f t="shared" si="87"/>
        <v>0</v>
      </c>
    </row>
    <row r="144" spans="1:22" x14ac:dyDescent="0.25">
      <c r="A144" t="s">
        <v>141</v>
      </c>
      <c r="B144">
        <v>0</v>
      </c>
      <c r="C144">
        <v>0</v>
      </c>
      <c r="D144">
        <f t="shared" si="78"/>
        <v>0</v>
      </c>
      <c r="E144">
        <v>0</v>
      </c>
      <c r="F144">
        <v>0</v>
      </c>
      <c r="G144">
        <f t="shared" si="79"/>
        <v>0</v>
      </c>
      <c r="H144">
        <v>0</v>
      </c>
      <c r="I144">
        <v>0</v>
      </c>
      <c r="J144">
        <f t="shared" si="80"/>
        <v>0</v>
      </c>
      <c r="K144">
        <f t="shared" si="81"/>
        <v>0</v>
      </c>
      <c r="L144">
        <f t="shared" si="82"/>
        <v>0</v>
      </c>
      <c r="M144">
        <f t="shared" si="83"/>
        <v>0</v>
      </c>
      <c r="N144">
        <f>IF(K336&gt;0,ROUND((K144/K336) * 100, 4), "")</f>
        <v>0</v>
      </c>
      <c r="O144">
        <f>IF(L336&gt;0,ROUND((L144/L336) * 100, 4), "")</f>
        <v>0</v>
      </c>
      <c r="P144">
        <f>IF(M336&gt;0,ROUND((M144/M336) * 100, 4), "")</f>
        <v>0</v>
      </c>
      <c r="Q144">
        <v>0</v>
      </c>
      <c r="R144">
        <v>0</v>
      </c>
      <c r="S144">
        <f t="shared" si="84"/>
        <v>0</v>
      </c>
      <c r="T144">
        <f t="shared" si="85"/>
        <v>0</v>
      </c>
      <c r="U144">
        <f t="shared" si="86"/>
        <v>0</v>
      </c>
      <c r="V144">
        <f t="shared" si="87"/>
        <v>0</v>
      </c>
    </row>
    <row r="145" spans="1:22" x14ac:dyDescent="0.25">
      <c r="A145" t="s">
        <v>142</v>
      </c>
      <c r="B145">
        <v>0</v>
      </c>
      <c r="C145">
        <v>0</v>
      </c>
      <c r="D145">
        <f t="shared" si="78"/>
        <v>0</v>
      </c>
      <c r="E145">
        <v>0</v>
      </c>
      <c r="F145">
        <v>0</v>
      </c>
      <c r="G145">
        <f t="shared" si="79"/>
        <v>0</v>
      </c>
      <c r="H145">
        <v>0</v>
      </c>
      <c r="I145">
        <v>0</v>
      </c>
      <c r="J145">
        <f t="shared" si="80"/>
        <v>0</v>
      </c>
      <c r="K145">
        <f t="shared" si="81"/>
        <v>0</v>
      </c>
      <c r="L145">
        <f t="shared" si="82"/>
        <v>0</v>
      </c>
      <c r="M145">
        <f t="shared" si="83"/>
        <v>0</v>
      </c>
      <c r="N145">
        <f>IF(K336&gt;0,ROUND((K145/K336) * 100, 4), "")</f>
        <v>0</v>
      </c>
      <c r="O145">
        <f>IF(L336&gt;0,ROUND((L145/L336) * 100, 4), "")</f>
        <v>0</v>
      </c>
      <c r="P145">
        <f>IF(M336&gt;0,ROUND((M145/M336) * 100, 4), "")</f>
        <v>0</v>
      </c>
      <c r="Q145">
        <v>0</v>
      </c>
      <c r="R145">
        <v>0</v>
      </c>
      <c r="S145">
        <f t="shared" si="84"/>
        <v>0</v>
      </c>
      <c r="T145">
        <f t="shared" si="85"/>
        <v>0</v>
      </c>
      <c r="U145">
        <f t="shared" si="86"/>
        <v>0</v>
      </c>
      <c r="V145">
        <f t="shared" si="87"/>
        <v>0</v>
      </c>
    </row>
    <row r="146" spans="1:22" x14ac:dyDescent="0.25">
      <c r="A146" t="s">
        <v>143</v>
      </c>
      <c r="B146">
        <v>13</v>
      </c>
      <c r="C146">
        <v>4</v>
      </c>
      <c r="D146">
        <f t="shared" si="78"/>
        <v>17</v>
      </c>
      <c r="E146">
        <v>73</v>
      </c>
      <c r="F146">
        <v>15</v>
      </c>
      <c r="G146">
        <f t="shared" si="79"/>
        <v>88</v>
      </c>
      <c r="H146">
        <v>0</v>
      </c>
      <c r="I146">
        <v>0</v>
      </c>
      <c r="J146">
        <f t="shared" si="80"/>
        <v>0</v>
      </c>
      <c r="K146">
        <f t="shared" si="81"/>
        <v>73</v>
      </c>
      <c r="L146">
        <f t="shared" si="82"/>
        <v>15</v>
      </c>
      <c r="M146">
        <f t="shared" si="83"/>
        <v>88</v>
      </c>
      <c r="N146">
        <f>IF(K336&gt;0,ROUND((K146/K336) * 100, 4), "")</f>
        <v>0.2833</v>
      </c>
      <c r="O146">
        <f>IF(L336&gt;0,ROUND((L146/L336) * 100, 4), "")</f>
        <v>0.16589999999999999</v>
      </c>
      <c r="P146">
        <f>IF(M336&gt;0,ROUND((M146/M336) * 100, 4), "")</f>
        <v>0.25280000000000002</v>
      </c>
      <c r="Q146">
        <v>69</v>
      </c>
      <c r="R146">
        <v>13</v>
      </c>
      <c r="S146">
        <f t="shared" si="84"/>
        <v>82</v>
      </c>
      <c r="T146">
        <f t="shared" si="85"/>
        <v>17</v>
      </c>
      <c r="U146">
        <f t="shared" si="86"/>
        <v>6</v>
      </c>
      <c r="V146">
        <f t="shared" si="87"/>
        <v>23</v>
      </c>
    </row>
    <row r="147" spans="1:22" x14ac:dyDescent="0.25">
      <c r="A147" t="s">
        <v>144</v>
      </c>
      <c r="B147">
        <v>0</v>
      </c>
      <c r="C147">
        <v>0</v>
      </c>
      <c r="D147">
        <f t="shared" si="78"/>
        <v>0</v>
      </c>
      <c r="E147">
        <v>0</v>
      </c>
      <c r="F147">
        <v>1</v>
      </c>
      <c r="G147">
        <f t="shared" si="79"/>
        <v>1</v>
      </c>
      <c r="H147">
        <v>0</v>
      </c>
      <c r="I147">
        <v>0</v>
      </c>
      <c r="J147">
        <f t="shared" si="80"/>
        <v>0</v>
      </c>
      <c r="K147">
        <f t="shared" si="81"/>
        <v>0</v>
      </c>
      <c r="L147">
        <f t="shared" si="82"/>
        <v>1</v>
      </c>
      <c r="M147">
        <f t="shared" si="83"/>
        <v>1</v>
      </c>
      <c r="N147">
        <f>IF(K336&gt;0,ROUND((K147/K336) * 100, 4), "")</f>
        <v>0</v>
      </c>
      <c r="O147">
        <f>IF(L336&gt;0,ROUND((L147/L336) * 100, 4), "")</f>
        <v>1.11E-2</v>
      </c>
      <c r="P147">
        <f>IF(M336&gt;0,ROUND((M147/M336) * 100, 4), "")</f>
        <v>2.8999999999999998E-3</v>
      </c>
      <c r="Q147">
        <v>0</v>
      </c>
      <c r="R147">
        <v>1</v>
      </c>
      <c r="S147">
        <f t="shared" si="84"/>
        <v>1</v>
      </c>
      <c r="T147">
        <f t="shared" si="85"/>
        <v>0</v>
      </c>
      <c r="U147">
        <f t="shared" si="86"/>
        <v>0</v>
      </c>
      <c r="V147">
        <f t="shared" si="87"/>
        <v>0</v>
      </c>
    </row>
    <row r="148" spans="1:22" x14ac:dyDescent="0.25">
      <c r="A148" t="s">
        <v>145</v>
      </c>
      <c r="B148">
        <v>0</v>
      </c>
      <c r="C148">
        <v>0</v>
      </c>
      <c r="D148">
        <f t="shared" si="78"/>
        <v>0</v>
      </c>
      <c r="E148">
        <v>0</v>
      </c>
      <c r="F148">
        <v>0</v>
      </c>
      <c r="G148">
        <f t="shared" si="79"/>
        <v>0</v>
      </c>
      <c r="H148">
        <v>0</v>
      </c>
      <c r="I148">
        <v>0</v>
      </c>
      <c r="J148">
        <f t="shared" si="80"/>
        <v>0</v>
      </c>
      <c r="K148">
        <f t="shared" si="81"/>
        <v>0</v>
      </c>
      <c r="L148">
        <f t="shared" si="82"/>
        <v>0</v>
      </c>
      <c r="M148">
        <f t="shared" si="83"/>
        <v>0</v>
      </c>
      <c r="N148">
        <f>IF(K336&gt;0,ROUND((K148/K336) * 100, 4), "")</f>
        <v>0</v>
      </c>
      <c r="O148">
        <f>IF(L336&gt;0,ROUND((L148/L336) * 100, 4), "")</f>
        <v>0</v>
      </c>
      <c r="P148">
        <f>IF(M336&gt;0,ROUND((M148/M336) * 100, 4), "")</f>
        <v>0</v>
      </c>
      <c r="Q148">
        <v>0</v>
      </c>
      <c r="R148">
        <v>0</v>
      </c>
      <c r="S148">
        <f t="shared" si="84"/>
        <v>0</v>
      </c>
      <c r="T148">
        <f t="shared" si="85"/>
        <v>0</v>
      </c>
      <c r="U148">
        <f t="shared" si="86"/>
        <v>0</v>
      </c>
      <c r="V148">
        <f t="shared" si="87"/>
        <v>0</v>
      </c>
    </row>
    <row r="149" spans="1:22" x14ac:dyDescent="0.25">
      <c r="A149" t="s">
        <v>146</v>
      </c>
      <c r="B149">
        <v>0</v>
      </c>
      <c r="C149">
        <v>0</v>
      </c>
      <c r="D149">
        <f t="shared" si="78"/>
        <v>0</v>
      </c>
      <c r="E149">
        <v>4</v>
      </c>
      <c r="F149">
        <v>0</v>
      </c>
      <c r="G149">
        <f t="shared" si="79"/>
        <v>4</v>
      </c>
      <c r="H149">
        <v>0</v>
      </c>
      <c r="I149">
        <v>0</v>
      </c>
      <c r="J149">
        <f t="shared" si="80"/>
        <v>0</v>
      </c>
      <c r="K149">
        <f t="shared" si="81"/>
        <v>4</v>
      </c>
      <c r="L149">
        <f t="shared" si="82"/>
        <v>0</v>
      </c>
      <c r="M149">
        <f t="shared" si="83"/>
        <v>4</v>
      </c>
      <c r="N149">
        <f>IF(K336&gt;0,ROUND((K149/K336) * 100, 4), "")</f>
        <v>1.55E-2</v>
      </c>
      <c r="O149">
        <f>IF(L336&gt;0,ROUND((L149/L336) * 100, 4), "")</f>
        <v>0</v>
      </c>
      <c r="P149">
        <f>IF(M336&gt;0,ROUND((M149/M336) * 100, 4), "")</f>
        <v>1.15E-2</v>
      </c>
      <c r="Q149">
        <v>4</v>
      </c>
      <c r="R149">
        <v>0</v>
      </c>
      <c r="S149">
        <f t="shared" si="84"/>
        <v>4</v>
      </c>
      <c r="T149">
        <f t="shared" si="85"/>
        <v>0</v>
      </c>
      <c r="U149">
        <f t="shared" si="86"/>
        <v>0</v>
      </c>
      <c r="V149">
        <f t="shared" si="87"/>
        <v>0</v>
      </c>
    </row>
    <row r="150" spans="1:22" x14ac:dyDescent="0.25">
      <c r="A150" t="s">
        <v>147</v>
      </c>
      <c r="B150">
        <v>0</v>
      </c>
      <c r="C150">
        <v>0</v>
      </c>
      <c r="D150">
        <f t="shared" si="78"/>
        <v>0</v>
      </c>
      <c r="E150">
        <v>0</v>
      </c>
      <c r="F150">
        <v>0</v>
      </c>
      <c r="G150">
        <f t="shared" si="79"/>
        <v>0</v>
      </c>
      <c r="H150">
        <v>0</v>
      </c>
      <c r="I150">
        <v>0</v>
      </c>
      <c r="J150">
        <f t="shared" si="80"/>
        <v>0</v>
      </c>
      <c r="K150">
        <f t="shared" si="81"/>
        <v>0</v>
      </c>
      <c r="L150">
        <f t="shared" si="82"/>
        <v>0</v>
      </c>
      <c r="M150">
        <f t="shared" si="83"/>
        <v>0</v>
      </c>
      <c r="N150">
        <f>IF(K336&gt;0,ROUND((K150/K336) * 100, 4), "")</f>
        <v>0</v>
      </c>
      <c r="O150">
        <f>IF(L336&gt;0,ROUND((L150/L336) * 100, 4), "")</f>
        <v>0</v>
      </c>
      <c r="P150">
        <f>IF(M336&gt;0,ROUND((M150/M336) * 100, 4), "")</f>
        <v>0</v>
      </c>
      <c r="Q150">
        <v>0</v>
      </c>
      <c r="R150">
        <v>0</v>
      </c>
      <c r="S150">
        <f t="shared" si="84"/>
        <v>0</v>
      </c>
      <c r="T150">
        <f t="shared" si="85"/>
        <v>0</v>
      </c>
      <c r="U150">
        <f t="shared" si="86"/>
        <v>0</v>
      </c>
      <c r="V150">
        <f t="shared" si="87"/>
        <v>0</v>
      </c>
    </row>
    <row r="151" spans="1:22" x14ac:dyDescent="0.25">
      <c r="A151" t="s">
        <v>148</v>
      </c>
      <c r="B151">
        <v>0</v>
      </c>
      <c r="C151">
        <v>0</v>
      </c>
      <c r="D151">
        <f t="shared" si="78"/>
        <v>0</v>
      </c>
      <c r="E151">
        <v>0</v>
      </c>
      <c r="F151">
        <v>1</v>
      </c>
      <c r="G151">
        <f t="shared" si="79"/>
        <v>1</v>
      </c>
      <c r="H151">
        <v>0</v>
      </c>
      <c r="I151">
        <v>0</v>
      </c>
      <c r="J151">
        <f t="shared" si="80"/>
        <v>0</v>
      </c>
      <c r="K151">
        <f t="shared" si="81"/>
        <v>0</v>
      </c>
      <c r="L151">
        <f t="shared" si="82"/>
        <v>1</v>
      </c>
      <c r="M151">
        <f t="shared" si="83"/>
        <v>1</v>
      </c>
      <c r="N151">
        <f>IF(K336&gt;0,ROUND((K151/K336) * 100, 4), "")</f>
        <v>0</v>
      </c>
      <c r="O151">
        <f>IF(L336&gt;0,ROUND((L151/L336) * 100, 4), "")</f>
        <v>1.11E-2</v>
      </c>
      <c r="P151">
        <f>IF(M336&gt;0,ROUND((M151/M336) * 100, 4), "")</f>
        <v>2.8999999999999998E-3</v>
      </c>
      <c r="Q151">
        <v>0</v>
      </c>
      <c r="R151">
        <v>0</v>
      </c>
      <c r="S151">
        <f t="shared" si="84"/>
        <v>0</v>
      </c>
      <c r="T151">
        <f t="shared" si="85"/>
        <v>0</v>
      </c>
      <c r="U151">
        <f t="shared" si="86"/>
        <v>1</v>
      </c>
      <c r="V151">
        <f t="shared" si="87"/>
        <v>1</v>
      </c>
    </row>
    <row r="152" spans="1:22" x14ac:dyDescent="0.25">
      <c r="A152" t="s">
        <v>149</v>
      </c>
      <c r="B152">
        <v>0</v>
      </c>
      <c r="C152">
        <v>0</v>
      </c>
      <c r="D152">
        <f t="shared" si="78"/>
        <v>0</v>
      </c>
      <c r="E152">
        <v>0</v>
      </c>
      <c r="F152">
        <v>2</v>
      </c>
      <c r="G152">
        <f t="shared" si="79"/>
        <v>2</v>
      </c>
      <c r="H152">
        <v>0</v>
      </c>
      <c r="I152">
        <v>0</v>
      </c>
      <c r="J152">
        <f t="shared" si="80"/>
        <v>0</v>
      </c>
      <c r="K152">
        <f t="shared" si="81"/>
        <v>0</v>
      </c>
      <c r="L152">
        <f t="shared" si="82"/>
        <v>2</v>
      </c>
      <c r="M152">
        <f t="shared" si="83"/>
        <v>2</v>
      </c>
      <c r="N152">
        <f>IF(K336&gt;0,ROUND((K152/K336) * 100, 4), "")</f>
        <v>0</v>
      </c>
      <c r="O152">
        <f>IF(L336&gt;0,ROUND((L152/L336) * 100, 4), "")</f>
        <v>2.2100000000000002E-2</v>
      </c>
      <c r="P152">
        <f>IF(M336&gt;0,ROUND((M152/M336) * 100, 4), "")</f>
        <v>5.7000000000000002E-3</v>
      </c>
      <c r="Q152">
        <v>0</v>
      </c>
      <c r="R152">
        <v>0</v>
      </c>
      <c r="S152">
        <f t="shared" si="84"/>
        <v>0</v>
      </c>
      <c r="T152">
        <f t="shared" si="85"/>
        <v>0</v>
      </c>
      <c r="U152">
        <f t="shared" si="86"/>
        <v>2</v>
      </c>
      <c r="V152">
        <f t="shared" si="87"/>
        <v>2</v>
      </c>
    </row>
    <row r="153" spans="1:22" x14ac:dyDescent="0.25">
      <c r="A153" t="s">
        <v>150</v>
      </c>
      <c r="B153">
        <v>0</v>
      </c>
      <c r="C153">
        <v>0</v>
      </c>
      <c r="D153">
        <f t="shared" si="78"/>
        <v>0</v>
      </c>
      <c r="E153">
        <v>0</v>
      </c>
      <c r="F153">
        <v>1</v>
      </c>
      <c r="G153">
        <f t="shared" si="79"/>
        <v>1</v>
      </c>
      <c r="H153">
        <v>0</v>
      </c>
      <c r="I153">
        <v>0</v>
      </c>
      <c r="J153">
        <f t="shared" si="80"/>
        <v>0</v>
      </c>
      <c r="K153">
        <f t="shared" si="81"/>
        <v>0</v>
      </c>
      <c r="L153">
        <f t="shared" si="82"/>
        <v>1</v>
      </c>
      <c r="M153">
        <f t="shared" si="83"/>
        <v>1</v>
      </c>
      <c r="N153">
        <f>IF(K336&gt;0,ROUND((K153/K336) * 100, 4), "")</f>
        <v>0</v>
      </c>
      <c r="O153">
        <f>IF(L336&gt;0,ROUND((L153/L336) * 100, 4), "")</f>
        <v>1.11E-2</v>
      </c>
      <c r="P153">
        <f>IF(M336&gt;0,ROUND((M153/M336) * 100, 4), "")</f>
        <v>2.8999999999999998E-3</v>
      </c>
      <c r="Q153">
        <v>0</v>
      </c>
      <c r="R153">
        <v>0</v>
      </c>
      <c r="S153">
        <f t="shared" si="84"/>
        <v>0</v>
      </c>
      <c r="T153">
        <f t="shared" si="85"/>
        <v>0</v>
      </c>
      <c r="U153">
        <f t="shared" si="86"/>
        <v>1</v>
      </c>
      <c r="V153">
        <f t="shared" si="87"/>
        <v>1</v>
      </c>
    </row>
    <row r="154" spans="1:22" x14ac:dyDescent="0.25">
      <c r="A154" t="s">
        <v>151</v>
      </c>
      <c r="B154">
        <v>10</v>
      </c>
      <c r="C154">
        <v>0</v>
      </c>
      <c r="D154">
        <f t="shared" si="78"/>
        <v>10</v>
      </c>
      <c r="E154">
        <v>73</v>
      </c>
      <c r="F154">
        <v>3</v>
      </c>
      <c r="G154">
        <f t="shared" si="79"/>
        <v>76</v>
      </c>
      <c r="H154">
        <v>0</v>
      </c>
      <c r="I154">
        <v>0</v>
      </c>
      <c r="J154">
        <f t="shared" si="80"/>
        <v>0</v>
      </c>
      <c r="K154">
        <f t="shared" si="81"/>
        <v>73</v>
      </c>
      <c r="L154">
        <f t="shared" si="82"/>
        <v>3</v>
      </c>
      <c r="M154">
        <f t="shared" si="83"/>
        <v>76</v>
      </c>
      <c r="N154">
        <f>IF(K336&gt;0,ROUND((K154/K336) * 100, 4), "")</f>
        <v>0.2833</v>
      </c>
      <c r="O154">
        <f>IF(L336&gt;0,ROUND((L154/L336) * 100, 4), "")</f>
        <v>3.32E-2</v>
      </c>
      <c r="P154">
        <f>IF(M336&gt;0,ROUND((M154/M336) * 100, 4), "")</f>
        <v>0.21829999999999999</v>
      </c>
      <c r="Q154">
        <v>77</v>
      </c>
      <c r="R154">
        <v>2</v>
      </c>
      <c r="S154">
        <f t="shared" si="84"/>
        <v>79</v>
      </c>
      <c r="T154">
        <f t="shared" si="85"/>
        <v>6</v>
      </c>
      <c r="U154">
        <f t="shared" si="86"/>
        <v>1</v>
      </c>
      <c r="V154">
        <f t="shared" si="87"/>
        <v>7</v>
      </c>
    </row>
    <row r="155" spans="1:22" x14ac:dyDescent="0.25">
      <c r="A155" t="s">
        <v>152</v>
      </c>
      <c r="B155">
        <v>0</v>
      </c>
      <c r="C155">
        <v>0</v>
      </c>
      <c r="D155">
        <f t="shared" si="78"/>
        <v>0</v>
      </c>
      <c r="E155">
        <v>0</v>
      </c>
      <c r="F155">
        <v>1</v>
      </c>
      <c r="G155">
        <f t="shared" si="79"/>
        <v>1</v>
      </c>
      <c r="H155">
        <v>0</v>
      </c>
      <c r="I155">
        <v>0</v>
      </c>
      <c r="J155">
        <f t="shared" si="80"/>
        <v>0</v>
      </c>
      <c r="K155">
        <f t="shared" si="81"/>
        <v>0</v>
      </c>
      <c r="L155">
        <f t="shared" si="82"/>
        <v>1</v>
      </c>
      <c r="M155">
        <f t="shared" si="83"/>
        <v>1</v>
      </c>
      <c r="N155">
        <f>IF(K336&gt;0,ROUND((K155/K336) * 100, 4), "")</f>
        <v>0</v>
      </c>
      <c r="O155">
        <f>IF(L336&gt;0,ROUND((L155/L336) * 100, 4), "")</f>
        <v>1.11E-2</v>
      </c>
      <c r="P155">
        <f>IF(M336&gt;0,ROUND((M155/M336) * 100, 4), "")</f>
        <v>2.8999999999999998E-3</v>
      </c>
      <c r="Q155">
        <v>0</v>
      </c>
      <c r="R155">
        <v>1</v>
      </c>
      <c r="S155">
        <f t="shared" si="84"/>
        <v>1</v>
      </c>
      <c r="T155">
        <f t="shared" si="85"/>
        <v>0</v>
      </c>
      <c r="U155">
        <f t="shared" si="86"/>
        <v>0</v>
      </c>
      <c r="V155">
        <f t="shared" si="87"/>
        <v>0</v>
      </c>
    </row>
    <row r="156" spans="1:22" x14ac:dyDescent="0.25">
      <c r="A156" t="s">
        <v>153</v>
      </c>
      <c r="B156">
        <v>0</v>
      </c>
      <c r="C156">
        <v>1</v>
      </c>
      <c r="D156">
        <f t="shared" si="78"/>
        <v>1</v>
      </c>
      <c r="E156">
        <v>0</v>
      </c>
      <c r="F156">
        <v>17</v>
      </c>
      <c r="G156">
        <f t="shared" si="79"/>
        <v>17</v>
      </c>
      <c r="H156">
        <v>0</v>
      </c>
      <c r="I156">
        <v>0</v>
      </c>
      <c r="J156">
        <f t="shared" si="80"/>
        <v>0</v>
      </c>
      <c r="K156">
        <f t="shared" si="81"/>
        <v>0</v>
      </c>
      <c r="L156">
        <f t="shared" si="82"/>
        <v>17</v>
      </c>
      <c r="M156">
        <f t="shared" si="83"/>
        <v>17</v>
      </c>
      <c r="N156">
        <f>IF(K336&gt;0,ROUND((K156/K336) * 100, 4), "")</f>
        <v>0</v>
      </c>
      <c r="O156">
        <f>IF(L336&gt;0,ROUND((L156/L336) * 100, 4), "")</f>
        <v>0.188</v>
      </c>
      <c r="P156">
        <f>IF(M336&gt;0,ROUND((M156/M336) * 100, 4), "")</f>
        <v>4.8800000000000003E-2</v>
      </c>
      <c r="Q156">
        <v>0</v>
      </c>
      <c r="R156">
        <v>17</v>
      </c>
      <c r="S156">
        <f t="shared" si="84"/>
        <v>17</v>
      </c>
      <c r="T156">
        <f t="shared" si="85"/>
        <v>0</v>
      </c>
      <c r="U156">
        <f t="shared" si="86"/>
        <v>1</v>
      </c>
      <c r="V156">
        <f t="shared" si="87"/>
        <v>1</v>
      </c>
    </row>
    <row r="157" spans="1:22" x14ac:dyDescent="0.25">
      <c r="A157" t="s">
        <v>154</v>
      </c>
      <c r="B157">
        <v>0</v>
      </c>
      <c r="C157">
        <v>0</v>
      </c>
      <c r="D157">
        <f t="shared" si="78"/>
        <v>0</v>
      </c>
      <c r="E157">
        <v>0</v>
      </c>
      <c r="F157">
        <v>3</v>
      </c>
      <c r="G157">
        <f t="shared" si="79"/>
        <v>3</v>
      </c>
      <c r="H157">
        <v>0</v>
      </c>
      <c r="I157">
        <v>0</v>
      </c>
      <c r="J157">
        <f t="shared" si="80"/>
        <v>0</v>
      </c>
      <c r="K157">
        <f t="shared" si="81"/>
        <v>0</v>
      </c>
      <c r="L157">
        <f t="shared" si="82"/>
        <v>3</v>
      </c>
      <c r="M157">
        <f t="shared" si="83"/>
        <v>3</v>
      </c>
      <c r="N157">
        <f>IF(K336&gt;0,ROUND((K157/K336) * 100, 4), "")</f>
        <v>0</v>
      </c>
      <c r="O157">
        <f>IF(L336&gt;0,ROUND((L157/L336) * 100, 4), "")</f>
        <v>3.32E-2</v>
      </c>
      <c r="P157">
        <f>IF(M336&gt;0,ROUND((M157/M336) * 100, 4), "")</f>
        <v>8.6E-3</v>
      </c>
      <c r="Q157">
        <v>0</v>
      </c>
      <c r="R157">
        <v>3</v>
      </c>
      <c r="S157">
        <f t="shared" si="84"/>
        <v>3</v>
      </c>
      <c r="T157">
        <f t="shared" si="85"/>
        <v>0</v>
      </c>
      <c r="U157">
        <f t="shared" si="86"/>
        <v>0</v>
      </c>
      <c r="V157">
        <f t="shared" si="87"/>
        <v>0</v>
      </c>
    </row>
    <row r="158" spans="1:22" x14ac:dyDescent="0.25">
      <c r="A158" t="s">
        <v>155</v>
      </c>
      <c r="B158">
        <v>0</v>
      </c>
      <c r="C158">
        <v>2</v>
      </c>
      <c r="D158">
        <f t="shared" si="78"/>
        <v>2</v>
      </c>
      <c r="E158">
        <v>0</v>
      </c>
      <c r="F158">
        <v>0</v>
      </c>
      <c r="G158">
        <f t="shared" si="79"/>
        <v>0</v>
      </c>
      <c r="H158">
        <v>0</v>
      </c>
      <c r="I158">
        <v>0</v>
      </c>
      <c r="J158">
        <f t="shared" si="80"/>
        <v>0</v>
      </c>
      <c r="K158">
        <f t="shared" si="81"/>
        <v>0</v>
      </c>
      <c r="L158">
        <f t="shared" si="82"/>
        <v>0</v>
      </c>
      <c r="M158">
        <f t="shared" si="83"/>
        <v>0</v>
      </c>
      <c r="N158">
        <f>IF(K336&gt;0,ROUND((K158/K336) * 100, 4), "")</f>
        <v>0</v>
      </c>
      <c r="O158">
        <f>IF(L336&gt;0,ROUND((L158/L336) * 100, 4), "")</f>
        <v>0</v>
      </c>
      <c r="P158">
        <f>IF(M336&gt;0,ROUND((M158/M336) * 100, 4), "")</f>
        <v>0</v>
      </c>
      <c r="Q158">
        <v>0</v>
      </c>
      <c r="R158">
        <v>0</v>
      </c>
      <c r="S158">
        <f t="shared" si="84"/>
        <v>0</v>
      </c>
      <c r="T158">
        <f t="shared" si="85"/>
        <v>0</v>
      </c>
      <c r="U158">
        <f t="shared" si="86"/>
        <v>2</v>
      </c>
      <c r="V158">
        <f t="shared" si="87"/>
        <v>2</v>
      </c>
    </row>
    <row r="159" spans="1:22" x14ac:dyDescent="0.25">
      <c r="A159" t="s">
        <v>156</v>
      </c>
      <c r="B159">
        <v>15</v>
      </c>
      <c r="C159">
        <v>87</v>
      </c>
      <c r="D159">
        <f t="shared" si="78"/>
        <v>102</v>
      </c>
      <c r="E159">
        <v>200</v>
      </c>
      <c r="F159">
        <v>570</v>
      </c>
      <c r="G159">
        <f t="shared" si="79"/>
        <v>770</v>
      </c>
      <c r="H159">
        <v>9</v>
      </c>
      <c r="I159">
        <v>18</v>
      </c>
      <c r="J159">
        <f t="shared" si="80"/>
        <v>27</v>
      </c>
      <c r="K159">
        <f t="shared" si="81"/>
        <v>209</v>
      </c>
      <c r="L159">
        <f t="shared" si="82"/>
        <v>588</v>
      </c>
      <c r="M159">
        <f t="shared" si="83"/>
        <v>797</v>
      </c>
      <c r="N159">
        <f>IF(K336&gt;0,ROUND((K159/K336) * 100, 4), "")</f>
        <v>0.81110000000000004</v>
      </c>
      <c r="O159">
        <f>IF(L336&gt;0,ROUND((L159/L336) * 100, 4), "")</f>
        <v>6.5030000000000001</v>
      </c>
      <c r="P159">
        <f>IF(M336&gt;0,ROUND((M159/M336) * 100, 4), "")</f>
        <v>2.2896000000000001</v>
      </c>
      <c r="Q159">
        <v>208</v>
      </c>
      <c r="R159">
        <v>569</v>
      </c>
      <c r="S159">
        <f t="shared" si="84"/>
        <v>777</v>
      </c>
      <c r="T159">
        <f t="shared" si="85"/>
        <v>16</v>
      </c>
      <c r="U159">
        <f t="shared" si="86"/>
        <v>106</v>
      </c>
      <c r="V159">
        <f t="shared" si="87"/>
        <v>122</v>
      </c>
    </row>
    <row r="160" spans="1:22" x14ac:dyDescent="0.25">
      <c r="A160" t="s">
        <v>157</v>
      </c>
      <c r="B160">
        <v>0</v>
      </c>
      <c r="C160">
        <v>0</v>
      </c>
      <c r="D160">
        <f t="shared" si="78"/>
        <v>0</v>
      </c>
      <c r="E160">
        <v>0</v>
      </c>
      <c r="F160">
        <v>8</v>
      </c>
      <c r="G160">
        <f t="shared" si="79"/>
        <v>8</v>
      </c>
      <c r="H160">
        <v>0</v>
      </c>
      <c r="I160">
        <v>0</v>
      </c>
      <c r="J160">
        <f t="shared" si="80"/>
        <v>0</v>
      </c>
      <c r="K160">
        <f t="shared" si="81"/>
        <v>0</v>
      </c>
      <c r="L160">
        <f t="shared" si="82"/>
        <v>8</v>
      </c>
      <c r="M160">
        <f t="shared" si="83"/>
        <v>8</v>
      </c>
      <c r="N160">
        <f>IF(K336&gt;0,ROUND((K160/K336) * 100, 4), "")</f>
        <v>0</v>
      </c>
      <c r="O160">
        <f>IF(L336&gt;0,ROUND((L160/L336) * 100, 4), "")</f>
        <v>8.8499999999999995E-2</v>
      </c>
      <c r="P160">
        <f>IF(M336&gt;0,ROUND((M160/M336) * 100, 4), "")</f>
        <v>2.3E-2</v>
      </c>
      <c r="Q160">
        <v>0</v>
      </c>
      <c r="R160">
        <v>6</v>
      </c>
      <c r="S160">
        <f t="shared" si="84"/>
        <v>6</v>
      </c>
      <c r="T160">
        <f t="shared" si="85"/>
        <v>0</v>
      </c>
      <c r="U160">
        <f t="shared" si="86"/>
        <v>2</v>
      </c>
      <c r="V160">
        <f t="shared" si="87"/>
        <v>2</v>
      </c>
    </row>
    <row r="161" spans="1:22" x14ac:dyDescent="0.25">
      <c r="A161" t="s">
        <v>158</v>
      </c>
      <c r="B161">
        <v>0</v>
      </c>
      <c r="C161">
        <v>0</v>
      </c>
      <c r="D161">
        <f t="shared" si="78"/>
        <v>0</v>
      </c>
      <c r="E161">
        <v>0</v>
      </c>
      <c r="F161">
        <v>1</v>
      </c>
      <c r="G161">
        <f t="shared" si="79"/>
        <v>1</v>
      </c>
      <c r="H161">
        <v>0</v>
      </c>
      <c r="I161">
        <v>0</v>
      </c>
      <c r="J161">
        <f t="shared" si="80"/>
        <v>0</v>
      </c>
      <c r="K161">
        <f t="shared" si="81"/>
        <v>0</v>
      </c>
      <c r="L161">
        <f t="shared" si="82"/>
        <v>1</v>
      </c>
      <c r="M161">
        <f t="shared" si="83"/>
        <v>1</v>
      </c>
      <c r="N161">
        <f>IF(K336&gt;0,ROUND((K161/K336) * 100, 4), "")</f>
        <v>0</v>
      </c>
      <c r="O161">
        <f>IF(L336&gt;0,ROUND((L161/L336) * 100, 4), "")</f>
        <v>1.11E-2</v>
      </c>
      <c r="P161">
        <f>IF(M336&gt;0,ROUND((M161/M336) * 100, 4), "")</f>
        <v>2.8999999999999998E-3</v>
      </c>
      <c r="Q161">
        <v>0</v>
      </c>
      <c r="R161">
        <v>0</v>
      </c>
      <c r="S161">
        <f t="shared" si="84"/>
        <v>0</v>
      </c>
      <c r="T161">
        <f t="shared" si="85"/>
        <v>0</v>
      </c>
      <c r="U161">
        <f t="shared" si="86"/>
        <v>1</v>
      </c>
      <c r="V161">
        <f t="shared" si="87"/>
        <v>1</v>
      </c>
    </row>
    <row r="162" spans="1:22" x14ac:dyDescent="0.25">
      <c r="A162" t="s">
        <v>159</v>
      </c>
      <c r="B162">
        <v>0</v>
      </c>
      <c r="C162">
        <v>1</v>
      </c>
      <c r="D162">
        <f t="shared" si="78"/>
        <v>1</v>
      </c>
      <c r="E162">
        <v>0</v>
      </c>
      <c r="F162">
        <v>6</v>
      </c>
      <c r="G162">
        <f t="shared" si="79"/>
        <v>6</v>
      </c>
      <c r="H162">
        <v>0</v>
      </c>
      <c r="I162">
        <v>0</v>
      </c>
      <c r="J162">
        <f t="shared" si="80"/>
        <v>0</v>
      </c>
      <c r="K162">
        <f t="shared" si="81"/>
        <v>0</v>
      </c>
      <c r="L162">
        <f t="shared" si="82"/>
        <v>6</v>
      </c>
      <c r="M162">
        <f t="shared" si="83"/>
        <v>6</v>
      </c>
      <c r="N162">
        <f>IF(K336&gt;0,ROUND((K162/K336) * 100, 4), "")</f>
        <v>0</v>
      </c>
      <c r="O162">
        <f>IF(L336&gt;0,ROUND((L162/L336) * 100, 4), "")</f>
        <v>6.6400000000000001E-2</v>
      </c>
      <c r="P162">
        <f>IF(M336&gt;0,ROUND((M162/M336) * 100, 4), "")</f>
        <v>1.72E-2</v>
      </c>
      <c r="Q162">
        <v>0</v>
      </c>
      <c r="R162">
        <v>7</v>
      </c>
      <c r="S162">
        <f t="shared" si="84"/>
        <v>7</v>
      </c>
      <c r="T162">
        <f t="shared" si="85"/>
        <v>0</v>
      </c>
      <c r="U162">
        <f t="shared" si="86"/>
        <v>0</v>
      </c>
      <c r="V162">
        <f t="shared" si="87"/>
        <v>0</v>
      </c>
    </row>
    <row r="163" spans="1:22" x14ac:dyDescent="0.25">
      <c r="A163" t="s">
        <v>160</v>
      </c>
      <c r="B163">
        <v>0</v>
      </c>
      <c r="C163">
        <v>0</v>
      </c>
      <c r="D163">
        <f t="shared" si="78"/>
        <v>0</v>
      </c>
      <c r="E163">
        <v>0</v>
      </c>
      <c r="F163">
        <v>0</v>
      </c>
      <c r="G163">
        <f t="shared" si="79"/>
        <v>0</v>
      </c>
      <c r="H163">
        <v>0</v>
      </c>
      <c r="I163">
        <v>0</v>
      </c>
      <c r="J163">
        <f t="shared" si="80"/>
        <v>0</v>
      </c>
      <c r="K163">
        <f t="shared" si="81"/>
        <v>0</v>
      </c>
      <c r="L163">
        <f t="shared" si="82"/>
        <v>0</v>
      </c>
      <c r="M163">
        <f t="shared" si="83"/>
        <v>0</v>
      </c>
      <c r="N163">
        <f>IF(K336&gt;0,ROUND((K163/K336) * 100, 4), "")</f>
        <v>0</v>
      </c>
      <c r="O163">
        <f>IF(L336&gt;0,ROUND((L163/L336) * 100, 4), "")</f>
        <v>0</v>
      </c>
      <c r="P163">
        <f>IF(M336&gt;0,ROUND((M163/M336) * 100, 4), "")</f>
        <v>0</v>
      </c>
      <c r="Q163">
        <v>0</v>
      </c>
      <c r="R163">
        <v>0</v>
      </c>
      <c r="S163">
        <f t="shared" si="84"/>
        <v>0</v>
      </c>
      <c r="T163">
        <f t="shared" si="85"/>
        <v>0</v>
      </c>
      <c r="U163">
        <f t="shared" si="86"/>
        <v>0</v>
      </c>
      <c r="V163">
        <f t="shared" si="87"/>
        <v>0</v>
      </c>
    </row>
    <row r="164" spans="1:22" x14ac:dyDescent="0.25">
      <c r="A164" t="s">
        <v>161</v>
      </c>
      <c r="B164">
        <v>0</v>
      </c>
      <c r="C164">
        <v>0</v>
      </c>
      <c r="D164">
        <f t="shared" si="78"/>
        <v>0</v>
      </c>
      <c r="E164">
        <v>1</v>
      </c>
      <c r="F164">
        <v>1</v>
      </c>
      <c r="G164">
        <f t="shared" si="79"/>
        <v>2</v>
      </c>
      <c r="H164">
        <v>0</v>
      </c>
      <c r="I164">
        <v>2</v>
      </c>
      <c r="J164">
        <f t="shared" si="80"/>
        <v>2</v>
      </c>
      <c r="K164">
        <f t="shared" si="81"/>
        <v>1</v>
      </c>
      <c r="L164">
        <f t="shared" si="82"/>
        <v>3</v>
      </c>
      <c r="M164">
        <f t="shared" si="83"/>
        <v>4</v>
      </c>
      <c r="N164">
        <f>IF(K336&gt;0,ROUND((K164/K336) * 100, 4), "")</f>
        <v>3.8999999999999998E-3</v>
      </c>
      <c r="O164">
        <f>IF(L336&gt;0,ROUND((L164/L336) * 100, 4), "")</f>
        <v>3.32E-2</v>
      </c>
      <c r="P164">
        <f>IF(M336&gt;0,ROUND((M164/M336) * 100, 4), "")</f>
        <v>1.15E-2</v>
      </c>
      <c r="Q164">
        <v>1</v>
      </c>
      <c r="R164">
        <v>3</v>
      </c>
      <c r="S164">
        <f t="shared" si="84"/>
        <v>4</v>
      </c>
      <c r="T164">
        <f t="shared" si="85"/>
        <v>0</v>
      </c>
      <c r="U164">
        <f t="shared" si="86"/>
        <v>0</v>
      </c>
      <c r="V164">
        <f t="shared" si="87"/>
        <v>0</v>
      </c>
    </row>
    <row r="165" spans="1:22" x14ac:dyDescent="0.25">
      <c r="A165" t="s">
        <v>162</v>
      </c>
      <c r="B165">
        <v>0</v>
      </c>
      <c r="C165">
        <v>0</v>
      </c>
      <c r="D165">
        <f t="shared" si="78"/>
        <v>0</v>
      </c>
      <c r="E165">
        <v>4</v>
      </c>
      <c r="F165">
        <v>11</v>
      </c>
      <c r="G165">
        <f t="shared" si="79"/>
        <v>15</v>
      </c>
      <c r="H165">
        <v>0</v>
      </c>
      <c r="I165">
        <v>1</v>
      </c>
      <c r="J165">
        <f t="shared" si="80"/>
        <v>1</v>
      </c>
      <c r="K165">
        <f t="shared" si="81"/>
        <v>4</v>
      </c>
      <c r="L165">
        <f t="shared" si="82"/>
        <v>12</v>
      </c>
      <c r="M165">
        <f t="shared" si="83"/>
        <v>16</v>
      </c>
      <c r="N165">
        <f>IF(K336&gt;0,ROUND((K165/K336) * 100, 4), "")</f>
        <v>1.55E-2</v>
      </c>
      <c r="O165">
        <f>IF(L336&gt;0,ROUND((L165/L336) * 100, 4), "")</f>
        <v>0.13270000000000001</v>
      </c>
      <c r="P165">
        <f>IF(M336&gt;0,ROUND((M165/M336) * 100, 4), "")</f>
        <v>4.5999999999999999E-2</v>
      </c>
      <c r="Q165">
        <v>3</v>
      </c>
      <c r="R165">
        <v>11</v>
      </c>
      <c r="S165">
        <f t="shared" si="84"/>
        <v>14</v>
      </c>
      <c r="T165">
        <f t="shared" si="85"/>
        <v>1</v>
      </c>
      <c r="U165">
        <f t="shared" si="86"/>
        <v>1</v>
      </c>
      <c r="V165">
        <f t="shared" si="87"/>
        <v>2</v>
      </c>
    </row>
    <row r="166" spans="1:22" x14ac:dyDescent="0.25">
      <c r="A166" t="s">
        <v>163</v>
      </c>
      <c r="B166">
        <v>0</v>
      </c>
      <c r="C166">
        <v>1</v>
      </c>
      <c r="D166">
        <f t="shared" si="78"/>
        <v>1</v>
      </c>
      <c r="E166">
        <v>2</v>
      </c>
      <c r="F166">
        <v>22</v>
      </c>
      <c r="G166">
        <f t="shared" si="79"/>
        <v>24</v>
      </c>
      <c r="H166">
        <v>1</v>
      </c>
      <c r="I166">
        <v>1</v>
      </c>
      <c r="J166">
        <f t="shared" si="80"/>
        <v>2</v>
      </c>
      <c r="K166">
        <f t="shared" si="81"/>
        <v>3</v>
      </c>
      <c r="L166">
        <f t="shared" si="82"/>
        <v>23</v>
      </c>
      <c r="M166">
        <f t="shared" si="83"/>
        <v>26</v>
      </c>
      <c r="N166">
        <f>IF(K336&gt;0,ROUND((K166/K336) * 100, 4), "")</f>
        <v>1.1599999999999999E-2</v>
      </c>
      <c r="O166">
        <f>IF(L336&gt;0,ROUND((L166/L336) * 100, 4), "")</f>
        <v>0.25440000000000002</v>
      </c>
      <c r="P166">
        <f>IF(M336&gt;0,ROUND((M166/M336) * 100, 4), "")</f>
        <v>7.4700000000000003E-2</v>
      </c>
      <c r="Q166">
        <v>3</v>
      </c>
      <c r="R166">
        <v>20</v>
      </c>
      <c r="S166">
        <f t="shared" si="84"/>
        <v>23</v>
      </c>
      <c r="T166">
        <f t="shared" si="85"/>
        <v>0</v>
      </c>
      <c r="U166">
        <f t="shared" si="86"/>
        <v>4</v>
      </c>
      <c r="V166">
        <f t="shared" si="87"/>
        <v>4</v>
      </c>
    </row>
    <row r="167" spans="1:22" x14ac:dyDescent="0.25">
      <c r="A167" t="s">
        <v>164</v>
      </c>
      <c r="B167">
        <v>0</v>
      </c>
      <c r="C167">
        <v>0</v>
      </c>
      <c r="D167">
        <f t="shared" si="78"/>
        <v>0</v>
      </c>
      <c r="E167">
        <v>2</v>
      </c>
      <c r="F167">
        <v>6</v>
      </c>
      <c r="G167">
        <f t="shared" si="79"/>
        <v>8</v>
      </c>
      <c r="H167">
        <v>0</v>
      </c>
      <c r="I167">
        <v>0</v>
      </c>
      <c r="J167">
        <f t="shared" si="80"/>
        <v>0</v>
      </c>
      <c r="K167">
        <f t="shared" si="81"/>
        <v>2</v>
      </c>
      <c r="L167">
        <f t="shared" si="82"/>
        <v>6</v>
      </c>
      <c r="M167">
        <f t="shared" si="83"/>
        <v>8</v>
      </c>
      <c r="N167">
        <f>IF(K336&gt;0,ROUND((K167/K336) * 100, 4), "")</f>
        <v>7.7999999999999996E-3</v>
      </c>
      <c r="O167">
        <f>IF(L336&gt;0,ROUND((L167/L336) * 100, 4), "")</f>
        <v>6.6400000000000001E-2</v>
      </c>
      <c r="P167">
        <f>IF(M336&gt;0,ROUND((M167/M336) * 100, 4), "")</f>
        <v>2.3E-2</v>
      </c>
      <c r="Q167">
        <v>2</v>
      </c>
      <c r="R167">
        <v>6</v>
      </c>
      <c r="S167">
        <f t="shared" si="84"/>
        <v>8</v>
      </c>
      <c r="T167">
        <f t="shared" si="85"/>
        <v>0</v>
      </c>
      <c r="U167">
        <f t="shared" si="86"/>
        <v>0</v>
      </c>
      <c r="V167">
        <f t="shared" si="87"/>
        <v>0</v>
      </c>
    </row>
    <row r="168" spans="1:22" x14ac:dyDescent="0.25">
      <c r="A168" t="s">
        <v>165</v>
      </c>
      <c r="B168">
        <v>0</v>
      </c>
      <c r="C168">
        <v>0</v>
      </c>
      <c r="D168">
        <f t="shared" si="78"/>
        <v>0</v>
      </c>
      <c r="E168">
        <v>1</v>
      </c>
      <c r="F168">
        <v>0</v>
      </c>
      <c r="G168">
        <f t="shared" si="79"/>
        <v>1</v>
      </c>
      <c r="H168">
        <v>0</v>
      </c>
      <c r="I168">
        <v>0</v>
      </c>
      <c r="J168">
        <f t="shared" si="80"/>
        <v>0</v>
      </c>
      <c r="K168">
        <f t="shared" si="81"/>
        <v>1</v>
      </c>
      <c r="L168">
        <f t="shared" si="82"/>
        <v>0</v>
      </c>
      <c r="M168">
        <f t="shared" si="83"/>
        <v>1</v>
      </c>
      <c r="N168">
        <f>IF(K336&gt;0,ROUND((K168/K336) * 100, 4), "")</f>
        <v>3.8999999999999998E-3</v>
      </c>
      <c r="O168">
        <f>IF(L336&gt;0,ROUND((L168/L336) * 100, 4), "")</f>
        <v>0</v>
      </c>
      <c r="P168">
        <f>IF(M336&gt;0,ROUND((M168/M336) * 100, 4), "")</f>
        <v>2.8999999999999998E-3</v>
      </c>
      <c r="Q168">
        <v>0</v>
      </c>
      <c r="R168">
        <v>0</v>
      </c>
      <c r="S168">
        <f t="shared" si="84"/>
        <v>0</v>
      </c>
      <c r="T168">
        <f t="shared" si="85"/>
        <v>1</v>
      </c>
      <c r="U168">
        <f t="shared" si="86"/>
        <v>0</v>
      </c>
      <c r="V168">
        <f t="shared" si="87"/>
        <v>1</v>
      </c>
    </row>
    <row r="169" spans="1:22" x14ac:dyDescent="0.25">
      <c r="A169" t="s">
        <v>166</v>
      </c>
      <c r="B169">
        <v>0</v>
      </c>
      <c r="C169">
        <v>3</v>
      </c>
      <c r="D169">
        <f t="shared" si="78"/>
        <v>3</v>
      </c>
      <c r="E169">
        <v>1</v>
      </c>
      <c r="F169">
        <v>12</v>
      </c>
      <c r="G169">
        <f t="shared" si="79"/>
        <v>13</v>
      </c>
      <c r="H169">
        <v>0</v>
      </c>
      <c r="I169">
        <v>2</v>
      </c>
      <c r="J169">
        <f t="shared" si="80"/>
        <v>2</v>
      </c>
      <c r="K169">
        <f t="shared" si="81"/>
        <v>1</v>
      </c>
      <c r="L169">
        <f t="shared" si="82"/>
        <v>14</v>
      </c>
      <c r="M169">
        <f t="shared" si="83"/>
        <v>15</v>
      </c>
      <c r="N169">
        <f>IF(K336&gt;0,ROUND((K169/K336) * 100, 4), "")</f>
        <v>3.8999999999999998E-3</v>
      </c>
      <c r="O169">
        <f>IF(L336&gt;0,ROUND((L169/L336) * 100, 4), "")</f>
        <v>0.15479999999999999</v>
      </c>
      <c r="P169">
        <f>IF(M336&gt;0,ROUND((M169/M336) * 100, 4), "")</f>
        <v>4.3099999999999999E-2</v>
      </c>
      <c r="Q169">
        <v>1</v>
      </c>
      <c r="R169">
        <v>9</v>
      </c>
      <c r="S169">
        <f t="shared" si="84"/>
        <v>10</v>
      </c>
      <c r="T169">
        <f t="shared" si="85"/>
        <v>0</v>
      </c>
      <c r="U169">
        <f t="shared" si="86"/>
        <v>8</v>
      </c>
      <c r="V169">
        <f t="shared" si="87"/>
        <v>8</v>
      </c>
    </row>
    <row r="170" spans="1:22" x14ac:dyDescent="0.25">
      <c r="A170" t="s">
        <v>167</v>
      </c>
      <c r="B170">
        <v>0</v>
      </c>
      <c r="C170">
        <v>0</v>
      </c>
      <c r="D170">
        <f t="shared" si="78"/>
        <v>0</v>
      </c>
      <c r="E170">
        <v>0</v>
      </c>
      <c r="F170">
        <v>0</v>
      </c>
      <c r="G170">
        <f t="shared" si="79"/>
        <v>0</v>
      </c>
      <c r="H170">
        <v>0</v>
      </c>
      <c r="I170">
        <v>0</v>
      </c>
      <c r="J170">
        <f t="shared" si="80"/>
        <v>0</v>
      </c>
      <c r="K170">
        <f t="shared" si="81"/>
        <v>0</v>
      </c>
      <c r="L170">
        <f t="shared" si="82"/>
        <v>0</v>
      </c>
      <c r="M170">
        <f t="shared" si="83"/>
        <v>0</v>
      </c>
      <c r="N170">
        <f>IF(K336&gt;0,ROUND((K170/K336) * 100, 4), "")</f>
        <v>0</v>
      </c>
      <c r="O170">
        <f>IF(L336&gt;0,ROUND((L170/L336) * 100, 4), "")</f>
        <v>0</v>
      </c>
      <c r="P170">
        <f>IF(M336&gt;0,ROUND((M170/M336) * 100, 4), "")</f>
        <v>0</v>
      </c>
      <c r="Q170">
        <v>0</v>
      </c>
      <c r="R170">
        <v>0</v>
      </c>
      <c r="S170">
        <f t="shared" si="84"/>
        <v>0</v>
      </c>
      <c r="T170">
        <f t="shared" si="85"/>
        <v>0</v>
      </c>
      <c r="U170">
        <f t="shared" si="86"/>
        <v>0</v>
      </c>
      <c r="V170">
        <f t="shared" si="87"/>
        <v>0</v>
      </c>
    </row>
    <row r="171" spans="1:22" x14ac:dyDescent="0.25">
      <c r="A171" t="s">
        <v>168</v>
      </c>
      <c r="B171">
        <v>0</v>
      </c>
      <c r="C171">
        <v>0</v>
      </c>
      <c r="D171">
        <f t="shared" si="78"/>
        <v>0</v>
      </c>
      <c r="E171">
        <v>0</v>
      </c>
      <c r="F171">
        <v>0</v>
      </c>
      <c r="G171">
        <f t="shared" si="79"/>
        <v>0</v>
      </c>
      <c r="H171">
        <v>0</v>
      </c>
      <c r="I171">
        <v>0</v>
      </c>
      <c r="J171">
        <f t="shared" si="80"/>
        <v>0</v>
      </c>
      <c r="K171">
        <f t="shared" si="81"/>
        <v>0</v>
      </c>
      <c r="L171">
        <f t="shared" si="82"/>
        <v>0</v>
      </c>
      <c r="M171">
        <f t="shared" si="83"/>
        <v>0</v>
      </c>
      <c r="N171">
        <f>IF(K336&gt;0,ROUND((K171/K336) * 100, 4), "")</f>
        <v>0</v>
      </c>
      <c r="O171">
        <f>IF(L336&gt;0,ROUND((L171/L336) * 100, 4), "")</f>
        <v>0</v>
      </c>
      <c r="P171">
        <f>IF(M336&gt;0,ROUND((M171/M336) * 100, 4), "")</f>
        <v>0</v>
      </c>
      <c r="Q171">
        <v>0</v>
      </c>
      <c r="R171">
        <v>0</v>
      </c>
      <c r="S171">
        <f t="shared" si="84"/>
        <v>0</v>
      </c>
      <c r="T171">
        <f t="shared" si="85"/>
        <v>0</v>
      </c>
      <c r="U171">
        <f t="shared" si="86"/>
        <v>0</v>
      </c>
      <c r="V171">
        <f t="shared" si="87"/>
        <v>0</v>
      </c>
    </row>
    <row r="172" spans="1:22" x14ac:dyDescent="0.25">
      <c r="A172" t="s">
        <v>169</v>
      </c>
      <c r="B172">
        <v>0</v>
      </c>
      <c r="C172">
        <v>0</v>
      </c>
      <c r="D172">
        <f t="shared" si="78"/>
        <v>0</v>
      </c>
      <c r="E172">
        <v>0</v>
      </c>
      <c r="F172">
        <v>0</v>
      </c>
      <c r="G172">
        <f t="shared" si="79"/>
        <v>0</v>
      </c>
      <c r="H172">
        <v>0</v>
      </c>
      <c r="I172">
        <v>0</v>
      </c>
      <c r="J172">
        <f t="shared" si="80"/>
        <v>0</v>
      </c>
      <c r="K172">
        <f t="shared" si="81"/>
        <v>0</v>
      </c>
      <c r="L172">
        <f t="shared" si="82"/>
        <v>0</v>
      </c>
      <c r="M172">
        <f t="shared" si="83"/>
        <v>0</v>
      </c>
      <c r="N172">
        <f>IF(K336&gt;0,ROUND((K172/K336) * 100, 4), "")</f>
        <v>0</v>
      </c>
      <c r="O172">
        <f>IF(L336&gt;0,ROUND((L172/L336) * 100, 4), "")</f>
        <v>0</v>
      </c>
      <c r="P172">
        <f>IF(M336&gt;0,ROUND((M172/M336) * 100, 4), "")</f>
        <v>0</v>
      </c>
      <c r="Q172">
        <v>0</v>
      </c>
      <c r="R172">
        <v>0</v>
      </c>
      <c r="S172">
        <f t="shared" si="84"/>
        <v>0</v>
      </c>
      <c r="T172">
        <f t="shared" si="85"/>
        <v>0</v>
      </c>
      <c r="U172">
        <f t="shared" si="86"/>
        <v>0</v>
      </c>
      <c r="V172">
        <f t="shared" si="87"/>
        <v>0</v>
      </c>
    </row>
    <row r="173" spans="1:22" x14ac:dyDescent="0.25">
      <c r="A173" t="s">
        <v>170</v>
      </c>
      <c r="B173">
        <v>0</v>
      </c>
      <c r="C173">
        <v>0</v>
      </c>
      <c r="D173">
        <f t="shared" si="78"/>
        <v>0</v>
      </c>
      <c r="E173">
        <v>0</v>
      </c>
      <c r="F173">
        <v>0</v>
      </c>
      <c r="G173">
        <f t="shared" si="79"/>
        <v>0</v>
      </c>
      <c r="H173">
        <v>0</v>
      </c>
      <c r="I173">
        <v>0</v>
      </c>
      <c r="J173">
        <f t="shared" si="80"/>
        <v>0</v>
      </c>
      <c r="K173">
        <f t="shared" si="81"/>
        <v>0</v>
      </c>
      <c r="L173">
        <f t="shared" si="82"/>
        <v>0</v>
      </c>
      <c r="M173">
        <f t="shared" si="83"/>
        <v>0</v>
      </c>
      <c r="N173">
        <f>IF(K336&gt;0,ROUND((K173/K336) * 100, 4), "")</f>
        <v>0</v>
      </c>
      <c r="O173">
        <f>IF(L336&gt;0,ROUND((L173/L336) * 100, 4), "")</f>
        <v>0</v>
      </c>
      <c r="P173">
        <f>IF(M336&gt;0,ROUND((M173/M336) * 100, 4), "")</f>
        <v>0</v>
      </c>
      <c r="Q173">
        <v>0</v>
      </c>
      <c r="R173">
        <v>0</v>
      </c>
      <c r="S173">
        <f t="shared" si="84"/>
        <v>0</v>
      </c>
      <c r="T173">
        <f t="shared" si="85"/>
        <v>0</v>
      </c>
      <c r="U173">
        <f t="shared" si="86"/>
        <v>0</v>
      </c>
      <c r="V173">
        <f t="shared" si="87"/>
        <v>0</v>
      </c>
    </row>
    <row r="174" spans="1:22" x14ac:dyDescent="0.25">
      <c r="A174" t="s">
        <v>171</v>
      </c>
      <c r="B174">
        <v>0</v>
      </c>
      <c r="C174">
        <v>0</v>
      </c>
      <c r="D174">
        <f t="shared" si="78"/>
        <v>0</v>
      </c>
      <c r="E174">
        <v>0</v>
      </c>
      <c r="F174">
        <v>0</v>
      </c>
      <c r="G174">
        <f t="shared" si="79"/>
        <v>0</v>
      </c>
      <c r="H174">
        <v>0</v>
      </c>
      <c r="I174">
        <v>0</v>
      </c>
      <c r="J174">
        <f t="shared" si="80"/>
        <v>0</v>
      </c>
      <c r="K174">
        <f t="shared" si="81"/>
        <v>0</v>
      </c>
      <c r="L174">
        <f t="shared" si="82"/>
        <v>0</v>
      </c>
      <c r="M174">
        <f t="shared" si="83"/>
        <v>0</v>
      </c>
      <c r="N174">
        <f>IF(K336&gt;0,ROUND((K174/K336) * 100, 4), "")</f>
        <v>0</v>
      </c>
      <c r="O174">
        <f>IF(L336&gt;0,ROUND((L174/L336) * 100, 4), "")</f>
        <v>0</v>
      </c>
      <c r="P174">
        <f>IF(M336&gt;0,ROUND((M174/M336) * 100, 4), "")</f>
        <v>0</v>
      </c>
      <c r="Q174">
        <v>0</v>
      </c>
      <c r="R174">
        <v>0</v>
      </c>
      <c r="S174">
        <f t="shared" si="84"/>
        <v>0</v>
      </c>
      <c r="T174">
        <f t="shared" si="85"/>
        <v>0</v>
      </c>
      <c r="U174">
        <f t="shared" si="86"/>
        <v>0</v>
      </c>
      <c r="V174">
        <f t="shared" si="87"/>
        <v>0</v>
      </c>
    </row>
    <row r="175" spans="1:22" x14ac:dyDescent="0.25">
      <c r="A175" t="s">
        <v>172</v>
      </c>
      <c r="B175">
        <v>0</v>
      </c>
      <c r="C175">
        <v>0</v>
      </c>
      <c r="D175">
        <f t="shared" si="78"/>
        <v>0</v>
      </c>
      <c r="E175">
        <v>9</v>
      </c>
      <c r="F175">
        <v>0</v>
      </c>
      <c r="G175">
        <f t="shared" si="79"/>
        <v>9</v>
      </c>
      <c r="H175">
        <v>0</v>
      </c>
      <c r="I175">
        <v>0</v>
      </c>
      <c r="J175">
        <f t="shared" si="80"/>
        <v>0</v>
      </c>
      <c r="K175">
        <f t="shared" si="81"/>
        <v>9</v>
      </c>
      <c r="L175">
        <f t="shared" si="82"/>
        <v>0</v>
      </c>
      <c r="M175">
        <f t="shared" si="83"/>
        <v>9</v>
      </c>
      <c r="N175">
        <f>IF(K336&gt;0,ROUND((K175/K336) * 100, 4), "")</f>
        <v>3.49E-2</v>
      </c>
      <c r="O175">
        <f>IF(L336&gt;0,ROUND((L175/L336) * 100, 4), "")</f>
        <v>0</v>
      </c>
      <c r="P175">
        <f>IF(M336&gt;0,ROUND((M175/M336) * 100, 4), "")</f>
        <v>2.5899999999999999E-2</v>
      </c>
      <c r="Q175">
        <v>6</v>
      </c>
      <c r="R175">
        <v>0</v>
      </c>
      <c r="S175">
        <f t="shared" si="84"/>
        <v>6</v>
      </c>
      <c r="T175">
        <f t="shared" si="85"/>
        <v>3</v>
      </c>
      <c r="U175">
        <f t="shared" si="86"/>
        <v>0</v>
      </c>
      <c r="V175">
        <f t="shared" si="87"/>
        <v>3</v>
      </c>
    </row>
    <row r="177" spans="1:22" x14ac:dyDescent="0.25">
      <c r="A177" s="8" t="s">
        <v>173</v>
      </c>
      <c r="B177" s="8" t="s">
        <v>173</v>
      </c>
      <c r="C177" s="8" t="s">
        <v>173</v>
      </c>
      <c r="D177" s="8" t="s">
        <v>173</v>
      </c>
      <c r="E177" s="8" t="s">
        <v>173</v>
      </c>
      <c r="F177" s="8" t="s">
        <v>173</v>
      </c>
      <c r="G177" s="8" t="s">
        <v>173</v>
      </c>
      <c r="H177" s="8" t="s">
        <v>173</v>
      </c>
      <c r="I177" s="8" t="s">
        <v>173</v>
      </c>
      <c r="J177" s="8" t="s">
        <v>173</v>
      </c>
      <c r="K177" s="8" t="s">
        <v>173</v>
      </c>
      <c r="L177" s="8" t="s">
        <v>173</v>
      </c>
      <c r="M177" s="8" t="s">
        <v>173</v>
      </c>
      <c r="N177" s="8" t="s">
        <v>173</v>
      </c>
      <c r="O177" s="8" t="s">
        <v>173</v>
      </c>
      <c r="P177" s="8" t="s">
        <v>173</v>
      </c>
      <c r="Q177" s="8" t="s">
        <v>173</v>
      </c>
      <c r="R177" s="8" t="s">
        <v>173</v>
      </c>
      <c r="S177" s="8" t="s">
        <v>173</v>
      </c>
      <c r="T177" s="8" t="s">
        <v>173</v>
      </c>
      <c r="U177" s="8" t="s">
        <v>173</v>
      </c>
      <c r="V177" s="8" t="s">
        <v>173</v>
      </c>
    </row>
    <row r="178" spans="1:22" x14ac:dyDescent="0.25">
      <c r="A178" t="s">
        <v>174</v>
      </c>
      <c r="B178">
        <v>0</v>
      </c>
      <c r="C178">
        <v>1</v>
      </c>
      <c r="D178">
        <f t="shared" ref="D178:D191" si="88">B178+C178</f>
        <v>1</v>
      </c>
      <c r="E178">
        <v>0</v>
      </c>
      <c r="F178">
        <v>3</v>
      </c>
      <c r="G178">
        <f t="shared" ref="G178:G191" si="89">E178+F178</f>
        <v>3</v>
      </c>
      <c r="H178">
        <v>0</v>
      </c>
      <c r="I178">
        <v>0</v>
      </c>
      <c r="J178">
        <f t="shared" ref="J178:J191" si="90">H178+I178</f>
        <v>0</v>
      </c>
      <c r="K178">
        <f t="shared" ref="K178:K191" si="91">E178 + H178</f>
        <v>0</v>
      </c>
      <c r="L178">
        <f t="shared" ref="L178:L191" si="92">F178 + I178</f>
        <v>3</v>
      </c>
      <c r="M178">
        <f t="shared" ref="M178:M191" si="93">K178 + L178</f>
        <v>3</v>
      </c>
      <c r="N178">
        <f>IF(K336&gt;0,ROUND((K178/K336) * 100, 4), "")</f>
        <v>0</v>
      </c>
      <c r="O178">
        <f>IF(L336&gt;0,ROUND((L178/L336) * 100, 4), "")</f>
        <v>3.32E-2</v>
      </c>
      <c r="P178">
        <f>IF(M336&gt;0,ROUND((M178/M336) * 100, 4), "")</f>
        <v>8.6E-3</v>
      </c>
      <c r="Q178">
        <v>0</v>
      </c>
      <c r="R178">
        <v>2</v>
      </c>
      <c r="S178">
        <f t="shared" ref="S178:S191" si="94">Q178 + R178</f>
        <v>2</v>
      </c>
      <c r="T178">
        <f t="shared" ref="T178:T191" si="95">B178 + K178 - Q178</f>
        <v>0</v>
      </c>
      <c r="U178">
        <f t="shared" ref="U178:U191" si="96">C178 + L178 - R178</f>
        <v>2</v>
      </c>
      <c r="V178">
        <f t="shared" ref="V178:V191" si="97">T178 + U178</f>
        <v>2</v>
      </c>
    </row>
    <row r="179" spans="1:22" x14ac:dyDescent="0.25">
      <c r="A179" t="s">
        <v>175</v>
      </c>
      <c r="B179">
        <v>0</v>
      </c>
      <c r="C179">
        <v>0</v>
      </c>
      <c r="D179">
        <f t="shared" si="88"/>
        <v>0</v>
      </c>
      <c r="E179">
        <v>0</v>
      </c>
      <c r="F179">
        <v>0</v>
      </c>
      <c r="G179">
        <f t="shared" si="89"/>
        <v>0</v>
      </c>
      <c r="H179">
        <v>0</v>
      </c>
      <c r="I179">
        <v>0</v>
      </c>
      <c r="J179">
        <f t="shared" si="90"/>
        <v>0</v>
      </c>
      <c r="K179">
        <f t="shared" si="91"/>
        <v>0</v>
      </c>
      <c r="L179">
        <f t="shared" si="92"/>
        <v>0</v>
      </c>
      <c r="M179">
        <f t="shared" si="93"/>
        <v>0</v>
      </c>
      <c r="N179">
        <f>IF(K336&gt;0,ROUND((K179/K336) * 100, 4), "")</f>
        <v>0</v>
      </c>
      <c r="O179">
        <f>IF(L336&gt;0,ROUND((L179/L336) * 100, 4), "")</f>
        <v>0</v>
      </c>
      <c r="P179">
        <f>IF(M336&gt;0,ROUND((M179/M336) * 100, 4), "")</f>
        <v>0</v>
      </c>
      <c r="Q179">
        <v>0</v>
      </c>
      <c r="R179">
        <v>0</v>
      </c>
      <c r="S179">
        <f t="shared" si="94"/>
        <v>0</v>
      </c>
      <c r="T179">
        <f t="shared" si="95"/>
        <v>0</v>
      </c>
      <c r="U179">
        <f t="shared" si="96"/>
        <v>0</v>
      </c>
      <c r="V179">
        <f t="shared" si="97"/>
        <v>0</v>
      </c>
    </row>
    <row r="180" spans="1:22" x14ac:dyDescent="0.25">
      <c r="A180" t="s">
        <v>176</v>
      </c>
      <c r="B180">
        <v>0</v>
      </c>
      <c r="C180">
        <v>0</v>
      </c>
      <c r="D180">
        <f t="shared" si="88"/>
        <v>0</v>
      </c>
      <c r="E180">
        <v>0</v>
      </c>
      <c r="F180">
        <v>7</v>
      </c>
      <c r="G180">
        <f t="shared" si="89"/>
        <v>7</v>
      </c>
      <c r="H180">
        <v>0</v>
      </c>
      <c r="I180">
        <v>1</v>
      </c>
      <c r="J180">
        <f t="shared" si="90"/>
        <v>1</v>
      </c>
      <c r="K180">
        <f t="shared" si="91"/>
        <v>0</v>
      </c>
      <c r="L180">
        <f t="shared" si="92"/>
        <v>8</v>
      </c>
      <c r="M180">
        <f t="shared" si="93"/>
        <v>8</v>
      </c>
      <c r="N180">
        <f>IF(K336&gt;0,ROUND((K180/K336) * 100, 4), "")</f>
        <v>0</v>
      </c>
      <c r="O180">
        <f>IF(L336&gt;0,ROUND((L180/L336) * 100, 4), "")</f>
        <v>8.8499999999999995E-2</v>
      </c>
      <c r="P180">
        <f>IF(M336&gt;0,ROUND((M180/M336) * 100, 4), "")</f>
        <v>2.3E-2</v>
      </c>
      <c r="Q180">
        <v>0</v>
      </c>
      <c r="R180">
        <v>1</v>
      </c>
      <c r="S180">
        <f t="shared" si="94"/>
        <v>1</v>
      </c>
      <c r="T180">
        <f t="shared" si="95"/>
        <v>0</v>
      </c>
      <c r="U180">
        <f t="shared" si="96"/>
        <v>7</v>
      </c>
      <c r="V180">
        <f t="shared" si="97"/>
        <v>7</v>
      </c>
    </row>
    <row r="181" spans="1:22" x14ac:dyDescent="0.25">
      <c r="A181" t="s">
        <v>177</v>
      </c>
      <c r="B181">
        <v>6</v>
      </c>
      <c r="C181">
        <v>2</v>
      </c>
      <c r="D181">
        <f t="shared" si="88"/>
        <v>8</v>
      </c>
      <c r="E181">
        <v>33</v>
      </c>
      <c r="F181">
        <v>16</v>
      </c>
      <c r="G181">
        <f t="shared" si="89"/>
        <v>49</v>
      </c>
      <c r="H181">
        <v>1</v>
      </c>
      <c r="I181">
        <v>0</v>
      </c>
      <c r="J181">
        <f t="shared" si="90"/>
        <v>1</v>
      </c>
      <c r="K181">
        <f t="shared" si="91"/>
        <v>34</v>
      </c>
      <c r="L181">
        <f t="shared" si="92"/>
        <v>16</v>
      </c>
      <c r="M181">
        <f t="shared" si="93"/>
        <v>50</v>
      </c>
      <c r="N181">
        <f>IF(K336&gt;0,ROUND((K181/K336) * 100, 4), "")</f>
        <v>0.13189999999999999</v>
      </c>
      <c r="O181">
        <f>IF(L336&gt;0,ROUND((L181/L336) * 100, 4), "")</f>
        <v>0.17699999999999999</v>
      </c>
      <c r="P181">
        <f>IF(M336&gt;0,ROUND((M181/M336) * 100, 4), "")</f>
        <v>0.14360000000000001</v>
      </c>
      <c r="Q181">
        <v>31</v>
      </c>
      <c r="R181">
        <v>14</v>
      </c>
      <c r="S181">
        <f t="shared" si="94"/>
        <v>45</v>
      </c>
      <c r="T181">
        <f t="shared" si="95"/>
        <v>9</v>
      </c>
      <c r="U181">
        <f t="shared" si="96"/>
        <v>4</v>
      </c>
      <c r="V181">
        <f t="shared" si="97"/>
        <v>13</v>
      </c>
    </row>
    <row r="182" spans="1:22" x14ac:dyDescent="0.25">
      <c r="A182" t="s">
        <v>178</v>
      </c>
      <c r="B182">
        <v>200</v>
      </c>
      <c r="C182">
        <v>86</v>
      </c>
      <c r="D182">
        <f t="shared" si="88"/>
        <v>286</v>
      </c>
      <c r="E182">
        <v>565</v>
      </c>
      <c r="F182">
        <v>296</v>
      </c>
      <c r="G182">
        <f t="shared" si="89"/>
        <v>861</v>
      </c>
      <c r="H182">
        <v>2</v>
      </c>
      <c r="I182">
        <v>5</v>
      </c>
      <c r="J182">
        <f t="shared" si="90"/>
        <v>7</v>
      </c>
      <c r="K182">
        <f t="shared" si="91"/>
        <v>567</v>
      </c>
      <c r="L182">
        <f t="shared" si="92"/>
        <v>301</v>
      </c>
      <c r="M182">
        <f t="shared" si="93"/>
        <v>868</v>
      </c>
      <c r="N182">
        <f>IF(K336&gt;0,ROUND((K182/K336) * 100, 4), "")</f>
        <v>2.2004000000000001</v>
      </c>
      <c r="O182">
        <f>IF(L336&gt;0,ROUND((L182/L336) * 100, 4), "")</f>
        <v>3.3289</v>
      </c>
      <c r="P182">
        <f>IF(M336&gt;0,ROUND((M182/M336) * 100, 4), "")</f>
        <v>2.4935</v>
      </c>
      <c r="Q182">
        <v>514</v>
      </c>
      <c r="R182">
        <v>249</v>
      </c>
      <c r="S182">
        <f t="shared" si="94"/>
        <v>763</v>
      </c>
      <c r="T182">
        <f t="shared" si="95"/>
        <v>253</v>
      </c>
      <c r="U182">
        <f t="shared" si="96"/>
        <v>138</v>
      </c>
      <c r="V182">
        <f t="shared" si="97"/>
        <v>391</v>
      </c>
    </row>
    <row r="183" spans="1:22" x14ac:dyDescent="0.25">
      <c r="A183" t="s">
        <v>179</v>
      </c>
      <c r="B183">
        <v>0</v>
      </c>
      <c r="C183">
        <v>0</v>
      </c>
      <c r="D183">
        <f t="shared" si="88"/>
        <v>0</v>
      </c>
      <c r="E183">
        <v>0</v>
      </c>
      <c r="F183">
        <v>2</v>
      </c>
      <c r="G183">
        <f t="shared" si="89"/>
        <v>2</v>
      </c>
      <c r="H183">
        <v>0</v>
      </c>
      <c r="I183">
        <v>0</v>
      </c>
      <c r="J183">
        <f t="shared" si="90"/>
        <v>0</v>
      </c>
      <c r="K183">
        <f t="shared" si="91"/>
        <v>0</v>
      </c>
      <c r="L183">
        <f t="shared" si="92"/>
        <v>2</v>
      </c>
      <c r="M183">
        <f t="shared" si="93"/>
        <v>2</v>
      </c>
      <c r="N183">
        <f>IF(K336&gt;0,ROUND((K183/K336) * 100, 4), "")</f>
        <v>0</v>
      </c>
      <c r="O183">
        <f>IF(L336&gt;0,ROUND((L183/L336) * 100, 4), "")</f>
        <v>2.2100000000000002E-2</v>
      </c>
      <c r="P183">
        <f>IF(M336&gt;0,ROUND((M183/M336) * 100, 4), "")</f>
        <v>5.7000000000000002E-3</v>
      </c>
      <c r="Q183">
        <v>0</v>
      </c>
      <c r="R183">
        <v>2</v>
      </c>
      <c r="S183">
        <f t="shared" si="94"/>
        <v>2</v>
      </c>
      <c r="T183">
        <f t="shared" si="95"/>
        <v>0</v>
      </c>
      <c r="U183">
        <f t="shared" si="96"/>
        <v>0</v>
      </c>
      <c r="V183">
        <f t="shared" si="97"/>
        <v>0</v>
      </c>
    </row>
    <row r="184" spans="1:22" x14ac:dyDescent="0.25">
      <c r="A184" t="s">
        <v>180</v>
      </c>
      <c r="B184">
        <v>42</v>
      </c>
      <c r="C184">
        <v>32</v>
      </c>
      <c r="D184">
        <f t="shared" si="88"/>
        <v>74</v>
      </c>
      <c r="E184">
        <v>280</v>
      </c>
      <c r="F184">
        <v>224</v>
      </c>
      <c r="G184">
        <f t="shared" si="89"/>
        <v>504</v>
      </c>
      <c r="H184">
        <v>3</v>
      </c>
      <c r="I184">
        <v>1</v>
      </c>
      <c r="J184">
        <f t="shared" si="90"/>
        <v>4</v>
      </c>
      <c r="K184">
        <f t="shared" si="91"/>
        <v>283</v>
      </c>
      <c r="L184">
        <f t="shared" si="92"/>
        <v>225</v>
      </c>
      <c r="M184">
        <f t="shared" si="93"/>
        <v>508</v>
      </c>
      <c r="N184">
        <f>IF(K336&gt;0,ROUND((K184/K336) * 100, 4), "")</f>
        <v>1.0983000000000001</v>
      </c>
      <c r="O184">
        <f>IF(L336&gt;0,ROUND((L184/L336) * 100, 4), "")</f>
        <v>2.4883999999999999</v>
      </c>
      <c r="P184">
        <f>IF(M336&gt;0,ROUND((M184/M336) * 100, 4), "")</f>
        <v>1.4594</v>
      </c>
      <c r="Q184">
        <v>297</v>
      </c>
      <c r="R184">
        <v>223</v>
      </c>
      <c r="S184">
        <f t="shared" si="94"/>
        <v>520</v>
      </c>
      <c r="T184">
        <f t="shared" si="95"/>
        <v>28</v>
      </c>
      <c r="U184">
        <f t="shared" si="96"/>
        <v>34</v>
      </c>
      <c r="V184">
        <f t="shared" si="97"/>
        <v>62</v>
      </c>
    </row>
    <row r="185" spans="1:22" x14ac:dyDescent="0.25">
      <c r="A185" t="s">
        <v>181</v>
      </c>
      <c r="B185">
        <v>6253</v>
      </c>
      <c r="C185">
        <v>57</v>
      </c>
      <c r="D185">
        <f t="shared" si="88"/>
        <v>6310</v>
      </c>
      <c r="E185">
        <v>11685</v>
      </c>
      <c r="F185">
        <v>579</v>
      </c>
      <c r="G185">
        <f t="shared" si="89"/>
        <v>12264</v>
      </c>
      <c r="H185">
        <v>7</v>
      </c>
      <c r="I185">
        <v>7</v>
      </c>
      <c r="J185">
        <f t="shared" si="90"/>
        <v>14</v>
      </c>
      <c r="K185">
        <f t="shared" si="91"/>
        <v>11692</v>
      </c>
      <c r="L185">
        <f t="shared" si="92"/>
        <v>586</v>
      </c>
      <c r="M185">
        <f t="shared" si="93"/>
        <v>12278</v>
      </c>
      <c r="N185">
        <f>IF(K336&gt;0,ROUND((K185/K336) * 100, 4), "")</f>
        <v>45.374099999999999</v>
      </c>
      <c r="O185">
        <f>IF(L336&gt;0,ROUND((L185/L336) * 100, 4), "")</f>
        <v>6.4809000000000001</v>
      </c>
      <c r="P185">
        <f>IF(M336&gt;0,ROUND((M185/M336) * 100, 4), "")</f>
        <v>35.271500000000003</v>
      </c>
      <c r="Q185">
        <v>11654</v>
      </c>
      <c r="R185">
        <v>481</v>
      </c>
      <c r="S185">
        <f t="shared" si="94"/>
        <v>12135</v>
      </c>
      <c r="T185">
        <f t="shared" si="95"/>
        <v>6291</v>
      </c>
      <c r="U185">
        <f t="shared" si="96"/>
        <v>162</v>
      </c>
      <c r="V185">
        <f t="shared" si="97"/>
        <v>6453</v>
      </c>
    </row>
    <row r="186" spans="1:22" x14ac:dyDescent="0.25">
      <c r="A186" t="s">
        <v>182</v>
      </c>
      <c r="B186">
        <v>0</v>
      </c>
      <c r="C186">
        <v>0</v>
      </c>
      <c r="D186">
        <f t="shared" si="88"/>
        <v>0</v>
      </c>
      <c r="E186">
        <v>0</v>
      </c>
      <c r="F186">
        <v>0</v>
      </c>
      <c r="G186">
        <f t="shared" si="89"/>
        <v>0</v>
      </c>
      <c r="H186">
        <v>0</v>
      </c>
      <c r="I186">
        <v>0</v>
      </c>
      <c r="J186">
        <f t="shared" si="90"/>
        <v>0</v>
      </c>
      <c r="K186">
        <f t="shared" si="91"/>
        <v>0</v>
      </c>
      <c r="L186">
        <f t="shared" si="92"/>
        <v>0</v>
      </c>
      <c r="M186">
        <f t="shared" si="93"/>
        <v>0</v>
      </c>
      <c r="N186">
        <f>IF(K336&gt;0,ROUND((K186/K336) * 100, 4), "")</f>
        <v>0</v>
      </c>
      <c r="O186">
        <f>IF(L336&gt;0,ROUND((L186/L336) * 100, 4), "")</f>
        <v>0</v>
      </c>
      <c r="P186">
        <f>IF(M336&gt;0,ROUND((M186/M336) * 100, 4), "")</f>
        <v>0</v>
      </c>
      <c r="Q186">
        <v>0</v>
      </c>
      <c r="R186">
        <v>0</v>
      </c>
      <c r="S186">
        <f t="shared" si="94"/>
        <v>0</v>
      </c>
      <c r="T186">
        <f t="shared" si="95"/>
        <v>0</v>
      </c>
      <c r="U186">
        <f t="shared" si="96"/>
        <v>0</v>
      </c>
      <c r="V186">
        <f t="shared" si="97"/>
        <v>0</v>
      </c>
    </row>
    <row r="187" spans="1:22" x14ac:dyDescent="0.25">
      <c r="A187" t="s">
        <v>183</v>
      </c>
      <c r="B187">
        <v>0</v>
      </c>
      <c r="C187">
        <v>0</v>
      </c>
      <c r="D187">
        <f t="shared" si="88"/>
        <v>0</v>
      </c>
      <c r="E187">
        <v>0</v>
      </c>
      <c r="F187">
        <v>0</v>
      </c>
      <c r="G187">
        <f t="shared" si="89"/>
        <v>0</v>
      </c>
      <c r="H187">
        <v>0</v>
      </c>
      <c r="I187">
        <v>1</v>
      </c>
      <c r="J187">
        <f t="shared" si="90"/>
        <v>1</v>
      </c>
      <c r="K187">
        <f t="shared" si="91"/>
        <v>0</v>
      </c>
      <c r="L187">
        <f t="shared" si="92"/>
        <v>1</v>
      </c>
      <c r="M187">
        <f t="shared" si="93"/>
        <v>1</v>
      </c>
      <c r="N187">
        <f>IF(K336&gt;0,ROUND((K187/K336) * 100, 4), "")</f>
        <v>0</v>
      </c>
      <c r="O187">
        <f>IF(L336&gt;0,ROUND((L187/L336) * 100, 4), "")</f>
        <v>1.11E-2</v>
      </c>
      <c r="P187">
        <f>IF(M336&gt;0,ROUND((M187/M336) * 100, 4), "")</f>
        <v>2.8999999999999998E-3</v>
      </c>
      <c r="Q187">
        <v>0</v>
      </c>
      <c r="R187">
        <v>1</v>
      </c>
      <c r="S187">
        <f t="shared" si="94"/>
        <v>1</v>
      </c>
      <c r="T187">
        <f t="shared" si="95"/>
        <v>0</v>
      </c>
      <c r="U187">
        <f t="shared" si="96"/>
        <v>0</v>
      </c>
      <c r="V187">
        <f t="shared" si="97"/>
        <v>0</v>
      </c>
    </row>
    <row r="188" spans="1:22" x14ac:dyDescent="0.25">
      <c r="A188" t="s">
        <v>184</v>
      </c>
      <c r="B188">
        <v>0</v>
      </c>
      <c r="C188">
        <v>3</v>
      </c>
      <c r="D188">
        <f t="shared" si="88"/>
        <v>3</v>
      </c>
      <c r="E188">
        <v>0</v>
      </c>
      <c r="F188">
        <v>19</v>
      </c>
      <c r="G188">
        <f t="shared" si="89"/>
        <v>19</v>
      </c>
      <c r="H188">
        <v>0</v>
      </c>
      <c r="I188">
        <v>0</v>
      </c>
      <c r="J188">
        <f t="shared" si="90"/>
        <v>0</v>
      </c>
      <c r="K188">
        <f t="shared" si="91"/>
        <v>0</v>
      </c>
      <c r="L188">
        <f t="shared" si="92"/>
        <v>19</v>
      </c>
      <c r="M188">
        <f t="shared" si="93"/>
        <v>19</v>
      </c>
      <c r="N188">
        <f>IF(K336&gt;0,ROUND((K188/K336) * 100, 4), "")</f>
        <v>0</v>
      </c>
      <c r="O188">
        <f>IF(L336&gt;0,ROUND((L188/L336) * 100, 4), "")</f>
        <v>0.21010000000000001</v>
      </c>
      <c r="P188">
        <f>IF(M336&gt;0,ROUND((M188/M336) * 100, 4), "")</f>
        <v>5.4600000000000003E-2</v>
      </c>
      <c r="Q188">
        <v>0</v>
      </c>
      <c r="R188">
        <v>14</v>
      </c>
      <c r="S188">
        <f t="shared" si="94"/>
        <v>14</v>
      </c>
      <c r="T188">
        <f t="shared" si="95"/>
        <v>0</v>
      </c>
      <c r="U188">
        <f t="shared" si="96"/>
        <v>8</v>
      </c>
      <c r="V188">
        <f t="shared" si="97"/>
        <v>8</v>
      </c>
    </row>
    <row r="189" spans="1:22" x14ac:dyDescent="0.25">
      <c r="A189" t="s">
        <v>185</v>
      </c>
      <c r="B189">
        <v>0</v>
      </c>
      <c r="C189">
        <v>0</v>
      </c>
      <c r="D189">
        <f t="shared" si="88"/>
        <v>0</v>
      </c>
      <c r="E189">
        <v>0</v>
      </c>
      <c r="F189">
        <v>0</v>
      </c>
      <c r="G189">
        <f t="shared" si="89"/>
        <v>0</v>
      </c>
      <c r="H189">
        <v>0</v>
      </c>
      <c r="I189">
        <v>0</v>
      </c>
      <c r="J189">
        <f t="shared" si="90"/>
        <v>0</v>
      </c>
      <c r="K189">
        <f t="shared" si="91"/>
        <v>0</v>
      </c>
      <c r="L189">
        <f t="shared" si="92"/>
        <v>0</v>
      </c>
      <c r="M189">
        <f t="shared" si="93"/>
        <v>0</v>
      </c>
      <c r="N189">
        <f>IF(K336&gt;0,ROUND((K189/K336) * 100, 4), "")</f>
        <v>0</v>
      </c>
      <c r="O189">
        <f>IF(L336&gt;0,ROUND((L189/L336) * 100, 4), "")</f>
        <v>0</v>
      </c>
      <c r="P189">
        <f>IF(M336&gt;0,ROUND((M189/M336) * 100, 4), "")</f>
        <v>0</v>
      </c>
      <c r="Q189">
        <v>0</v>
      </c>
      <c r="R189">
        <v>0</v>
      </c>
      <c r="S189">
        <f t="shared" si="94"/>
        <v>0</v>
      </c>
      <c r="T189">
        <f t="shared" si="95"/>
        <v>0</v>
      </c>
      <c r="U189">
        <f t="shared" si="96"/>
        <v>0</v>
      </c>
      <c r="V189">
        <f t="shared" si="97"/>
        <v>0</v>
      </c>
    </row>
    <row r="190" spans="1:22" x14ac:dyDescent="0.25">
      <c r="A190" t="s">
        <v>186</v>
      </c>
      <c r="B190">
        <v>0</v>
      </c>
      <c r="C190">
        <v>0</v>
      </c>
      <c r="D190">
        <f t="shared" si="88"/>
        <v>0</v>
      </c>
      <c r="E190">
        <v>0</v>
      </c>
      <c r="F190">
        <v>0</v>
      </c>
      <c r="G190">
        <f t="shared" si="89"/>
        <v>0</v>
      </c>
      <c r="H190">
        <v>0</v>
      </c>
      <c r="I190">
        <v>0</v>
      </c>
      <c r="J190">
        <f t="shared" si="90"/>
        <v>0</v>
      </c>
      <c r="K190">
        <f t="shared" si="91"/>
        <v>0</v>
      </c>
      <c r="L190">
        <f t="shared" si="92"/>
        <v>0</v>
      </c>
      <c r="M190">
        <f t="shared" si="93"/>
        <v>0</v>
      </c>
      <c r="N190">
        <f>IF(K336&gt;0,ROUND((K190/K336) * 100, 4), "")</f>
        <v>0</v>
      </c>
      <c r="O190">
        <f>IF(L336&gt;0,ROUND((L190/L336) * 100, 4), "")</f>
        <v>0</v>
      </c>
      <c r="P190">
        <f>IF(M336&gt;0,ROUND((M190/M336) * 100, 4), "")</f>
        <v>0</v>
      </c>
      <c r="Q190">
        <v>0</v>
      </c>
      <c r="R190">
        <v>0</v>
      </c>
      <c r="S190">
        <f t="shared" si="94"/>
        <v>0</v>
      </c>
      <c r="T190">
        <f t="shared" si="95"/>
        <v>0</v>
      </c>
      <c r="U190">
        <f t="shared" si="96"/>
        <v>0</v>
      </c>
      <c r="V190">
        <f t="shared" si="97"/>
        <v>0</v>
      </c>
    </row>
    <row r="191" spans="1:22" x14ac:dyDescent="0.25">
      <c r="A191" t="s">
        <v>187</v>
      </c>
      <c r="B191">
        <v>5</v>
      </c>
      <c r="C191">
        <v>6</v>
      </c>
      <c r="D191">
        <f t="shared" si="88"/>
        <v>11</v>
      </c>
      <c r="E191">
        <v>4</v>
      </c>
      <c r="F191">
        <v>7</v>
      </c>
      <c r="G191">
        <f t="shared" si="89"/>
        <v>11</v>
      </c>
      <c r="H191">
        <v>2</v>
      </c>
      <c r="I191">
        <v>0</v>
      </c>
      <c r="J191">
        <f t="shared" si="90"/>
        <v>2</v>
      </c>
      <c r="K191">
        <f t="shared" si="91"/>
        <v>6</v>
      </c>
      <c r="L191">
        <f t="shared" si="92"/>
        <v>7</v>
      </c>
      <c r="M191">
        <f t="shared" si="93"/>
        <v>13</v>
      </c>
      <c r="N191">
        <f>IF(K336&gt;0,ROUND((K191/K336) * 100, 4), "")</f>
        <v>2.3300000000000001E-2</v>
      </c>
      <c r="O191">
        <f>IF(L336&gt;0,ROUND((L191/L336) * 100, 4), "")</f>
        <v>7.7399999999999997E-2</v>
      </c>
      <c r="P191">
        <f>IF(M336&gt;0,ROUND((M191/M336) * 100, 4), "")</f>
        <v>3.73E-2</v>
      </c>
      <c r="Q191">
        <v>9</v>
      </c>
      <c r="R191">
        <v>10</v>
      </c>
      <c r="S191">
        <f t="shared" si="94"/>
        <v>19</v>
      </c>
      <c r="T191">
        <f t="shared" si="95"/>
        <v>2</v>
      </c>
      <c r="U191">
        <f t="shared" si="96"/>
        <v>3</v>
      </c>
      <c r="V191">
        <f t="shared" si="97"/>
        <v>5</v>
      </c>
    </row>
    <row r="193" spans="1:22" x14ac:dyDescent="0.25">
      <c r="A193" s="8" t="s">
        <v>188</v>
      </c>
      <c r="B193" s="8" t="s">
        <v>188</v>
      </c>
      <c r="C193" s="8" t="s">
        <v>188</v>
      </c>
      <c r="D193" s="8" t="s">
        <v>188</v>
      </c>
      <c r="E193" s="8" t="s">
        <v>188</v>
      </c>
      <c r="F193" s="8" t="s">
        <v>188</v>
      </c>
      <c r="G193" s="8" t="s">
        <v>188</v>
      </c>
      <c r="H193" s="8" t="s">
        <v>188</v>
      </c>
      <c r="I193" s="8" t="s">
        <v>188</v>
      </c>
      <c r="J193" s="8" t="s">
        <v>188</v>
      </c>
      <c r="K193" s="8" t="s">
        <v>188</v>
      </c>
      <c r="L193" s="8" t="s">
        <v>188</v>
      </c>
      <c r="M193" s="8" t="s">
        <v>188</v>
      </c>
      <c r="N193" s="8" t="s">
        <v>188</v>
      </c>
      <c r="O193" s="8" t="s">
        <v>188</v>
      </c>
      <c r="P193" s="8" t="s">
        <v>188</v>
      </c>
      <c r="Q193" s="8" t="s">
        <v>188</v>
      </c>
      <c r="R193" s="8" t="s">
        <v>188</v>
      </c>
      <c r="S193" s="8" t="s">
        <v>188</v>
      </c>
      <c r="T193" s="8" t="s">
        <v>188</v>
      </c>
      <c r="U193" s="8" t="s">
        <v>188</v>
      </c>
      <c r="V193" s="8" t="s">
        <v>188</v>
      </c>
    </row>
    <row r="194" spans="1:22" x14ac:dyDescent="0.25">
      <c r="A194" t="s">
        <v>189</v>
      </c>
      <c r="B194">
        <v>0</v>
      </c>
      <c r="C194">
        <v>0</v>
      </c>
      <c r="D194">
        <f t="shared" ref="D194:D207" si="98">B194+C194</f>
        <v>0</v>
      </c>
      <c r="E194">
        <v>0</v>
      </c>
      <c r="F194">
        <v>1</v>
      </c>
      <c r="G194">
        <f t="shared" ref="G194:G207" si="99">E194+F194</f>
        <v>1</v>
      </c>
      <c r="H194">
        <v>0</v>
      </c>
      <c r="I194">
        <v>0</v>
      </c>
      <c r="J194">
        <f t="shared" ref="J194:J207" si="100">H194+I194</f>
        <v>0</v>
      </c>
      <c r="K194">
        <f t="shared" ref="K194:K207" si="101">E194 + H194</f>
        <v>0</v>
      </c>
      <c r="L194">
        <f t="shared" ref="L194:L207" si="102">F194 + I194</f>
        <v>1</v>
      </c>
      <c r="M194">
        <f t="shared" ref="M194:M207" si="103">K194 + L194</f>
        <v>1</v>
      </c>
      <c r="N194">
        <f>IF(K336&gt;0,ROUND((K194/K336) * 100, 4), "")</f>
        <v>0</v>
      </c>
      <c r="O194">
        <f>IF(L336&gt;0,ROUND((L194/L336) * 100, 4), "")</f>
        <v>1.11E-2</v>
      </c>
      <c r="P194">
        <f>IF(M336&gt;0,ROUND((M194/M336) * 100, 4), "")</f>
        <v>2.8999999999999998E-3</v>
      </c>
      <c r="Q194">
        <v>0</v>
      </c>
      <c r="R194">
        <v>1</v>
      </c>
      <c r="S194">
        <f t="shared" ref="S194:S207" si="104">Q194 + R194</f>
        <v>1</v>
      </c>
      <c r="T194">
        <f t="shared" ref="T194:T207" si="105">B194 + K194 - Q194</f>
        <v>0</v>
      </c>
      <c r="U194">
        <f t="shared" ref="U194:U207" si="106">C194 + L194 - R194</f>
        <v>0</v>
      </c>
      <c r="V194">
        <f t="shared" ref="V194:V207" si="107">T194 + U194</f>
        <v>0</v>
      </c>
    </row>
    <row r="195" spans="1:22" x14ac:dyDescent="0.25">
      <c r="A195" t="s">
        <v>190</v>
      </c>
      <c r="B195">
        <v>0</v>
      </c>
      <c r="C195">
        <v>0</v>
      </c>
      <c r="D195">
        <f t="shared" si="98"/>
        <v>0</v>
      </c>
      <c r="E195">
        <v>0</v>
      </c>
      <c r="F195">
        <v>5</v>
      </c>
      <c r="G195">
        <f t="shared" si="99"/>
        <v>5</v>
      </c>
      <c r="H195">
        <v>0</v>
      </c>
      <c r="I195">
        <v>0</v>
      </c>
      <c r="J195">
        <f t="shared" si="100"/>
        <v>0</v>
      </c>
      <c r="K195">
        <f t="shared" si="101"/>
        <v>0</v>
      </c>
      <c r="L195">
        <f t="shared" si="102"/>
        <v>5</v>
      </c>
      <c r="M195">
        <f t="shared" si="103"/>
        <v>5</v>
      </c>
      <c r="N195">
        <f>IF(K336&gt;0,ROUND((K195/K336) * 100, 4), "")</f>
        <v>0</v>
      </c>
      <c r="O195">
        <f>IF(L336&gt;0,ROUND((L195/L336) * 100, 4), "")</f>
        <v>5.5300000000000002E-2</v>
      </c>
      <c r="P195">
        <f>IF(M336&gt;0,ROUND((M195/M336) * 100, 4), "")</f>
        <v>1.44E-2</v>
      </c>
      <c r="Q195">
        <v>0</v>
      </c>
      <c r="R195">
        <v>0</v>
      </c>
      <c r="S195">
        <f t="shared" si="104"/>
        <v>0</v>
      </c>
      <c r="T195">
        <f t="shared" si="105"/>
        <v>0</v>
      </c>
      <c r="U195">
        <f t="shared" si="106"/>
        <v>5</v>
      </c>
      <c r="V195">
        <f t="shared" si="107"/>
        <v>5</v>
      </c>
    </row>
    <row r="196" spans="1:22" x14ac:dyDescent="0.25">
      <c r="A196" t="s">
        <v>191</v>
      </c>
      <c r="B196">
        <v>0</v>
      </c>
      <c r="C196">
        <v>5</v>
      </c>
      <c r="D196">
        <f t="shared" si="98"/>
        <v>5</v>
      </c>
      <c r="E196">
        <v>1</v>
      </c>
      <c r="F196">
        <v>6</v>
      </c>
      <c r="G196">
        <f t="shared" si="99"/>
        <v>7</v>
      </c>
      <c r="H196">
        <v>0</v>
      </c>
      <c r="I196">
        <v>0</v>
      </c>
      <c r="J196">
        <f t="shared" si="100"/>
        <v>0</v>
      </c>
      <c r="K196">
        <f t="shared" si="101"/>
        <v>1</v>
      </c>
      <c r="L196">
        <f t="shared" si="102"/>
        <v>6</v>
      </c>
      <c r="M196">
        <f t="shared" si="103"/>
        <v>7</v>
      </c>
      <c r="N196">
        <f>IF(K336&gt;0,ROUND((K196/K336) * 100, 4), "")</f>
        <v>3.8999999999999998E-3</v>
      </c>
      <c r="O196">
        <f>IF(L336&gt;0,ROUND((L196/L336) * 100, 4), "")</f>
        <v>6.6400000000000001E-2</v>
      </c>
      <c r="P196">
        <f>IF(M336&gt;0,ROUND((M196/M336) * 100, 4), "")</f>
        <v>2.01E-2</v>
      </c>
      <c r="Q196">
        <v>0</v>
      </c>
      <c r="R196">
        <v>11</v>
      </c>
      <c r="S196">
        <f t="shared" si="104"/>
        <v>11</v>
      </c>
      <c r="T196">
        <f t="shared" si="105"/>
        <v>1</v>
      </c>
      <c r="U196">
        <f t="shared" si="106"/>
        <v>0</v>
      </c>
      <c r="V196">
        <f t="shared" si="107"/>
        <v>1</v>
      </c>
    </row>
    <row r="197" spans="1:22" x14ac:dyDescent="0.25">
      <c r="A197" t="s">
        <v>192</v>
      </c>
      <c r="B197">
        <v>2</v>
      </c>
      <c r="C197">
        <v>1</v>
      </c>
      <c r="D197">
        <f t="shared" si="98"/>
        <v>3</v>
      </c>
      <c r="E197">
        <v>11</v>
      </c>
      <c r="F197">
        <v>41</v>
      </c>
      <c r="G197">
        <f t="shared" si="99"/>
        <v>52</v>
      </c>
      <c r="H197">
        <v>0</v>
      </c>
      <c r="I197">
        <v>0</v>
      </c>
      <c r="J197">
        <f t="shared" si="100"/>
        <v>0</v>
      </c>
      <c r="K197">
        <f t="shared" si="101"/>
        <v>11</v>
      </c>
      <c r="L197">
        <f t="shared" si="102"/>
        <v>41</v>
      </c>
      <c r="M197">
        <f t="shared" si="103"/>
        <v>52</v>
      </c>
      <c r="N197">
        <f>IF(K336&gt;0,ROUND((K197/K336) * 100, 4), "")</f>
        <v>4.2700000000000002E-2</v>
      </c>
      <c r="O197">
        <f>IF(L336&gt;0,ROUND((L197/L336) * 100, 4), "")</f>
        <v>0.45340000000000003</v>
      </c>
      <c r="P197">
        <f>IF(M336&gt;0,ROUND((M197/M336) * 100, 4), "")</f>
        <v>0.14940000000000001</v>
      </c>
      <c r="Q197">
        <v>11</v>
      </c>
      <c r="R197">
        <v>40</v>
      </c>
      <c r="S197">
        <f t="shared" si="104"/>
        <v>51</v>
      </c>
      <c r="T197">
        <f t="shared" si="105"/>
        <v>2</v>
      </c>
      <c r="U197">
        <f t="shared" si="106"/>
        <v>2</v>
      </c>
      <c r="V197">
        <f t="shared" si="107"/>
        <v>4</v>
      </c>
    </row>
    <row r="198" spans="1:22" x14ac:dyDescent="0.25">
      <c r="A198" t="s">
        <v>193</v>
      </c>
      <c r="B198">
        <v>0</v>
      </c>
      <c r="C198">
        <v>85</v>
      </c>
      <c r="D198">
        <f t="shared" si="98"/>
        <v>85</v>
      </c>
      <c r="E198">
        <v>3</v>
      </c>
      <c r="F198">
        <v>165</v>
      </c>
      <c r="G198">
        <f t="shared" si="99"/>
        <v>168</v>
      </c>
      <c r="H198">
        <v>0</v>
      </c>
      <c r="I198">
        <v>19</v>
      </c>
      <c r="J198">
        <f t="shared" si="100"/>
        <v>19</v>
      </c>
      <c r="K198">
        <f t="shared" si="101"/>
        <v>3</v>
      </c>
      <c r="L198">
        <f t="shared" si="102"/>
        <v>184</v>
      </c>
      <c r="M198">
        <f t="shared" si="103"/>
        <v>187</v>
      </c>
      <c r="N198">
        <f>IF(K336&gt;0,ROUND((K198/K336) * 100, 4), "")</f>
        <v>1.1599999999999999E-2</v>
      </c>
      <c r="O198">
        <f>IF(L336&gt;0,ROUND((L198/L336) * 100, 4), "")</f>
        <v>2.0348999999999999</v>
      </c>
      <c r="P198">
        <f>IF(M336&gt;0,ROUND((M198/M336) * 100, 4), "")</f>
        <v>0.53720000000000001</v>
      </c>
      <c r="Q198">
        <v>1</v>
      </c>
      <c r="R198">
        <v>198</v>
      </c>
      <c r="S198">
        <f t="shared" si="104"/>
        <v>199</v>
      </c>
      <c r="T198">
        <f t="shared" si="105"/>
        <v>2</v>
      </c>
      <c r="U198">
        <f t="shared" si="106"/>
        <v>71</v>
      </c>
      <c r="V198">
        <f t="shared" si="107"/>
        <v>73</v>
      </c>
    </row>
    <row r="199" spans="1:22" x14ac:dyDescent="0.25">
      <c r="A199" t="s">
        <v>194</v>
      </c>
      <c r="B199">
        <v>0</v>
      </c>
      <c r="C199">
        <v>2</v>
      </c>
      <c r="D199">
        <f t="shared" si="98"/>
        <v>2</v>
      </c>
      <c r="E199">
        <v>0</v>
      </c>
      <c r="F199">
        <v>0</v>
      </c>
      <c r="G199">
        <f t="shared" si="99"/>
        <v>0</v>
      </c>
      <c r="H199">
        <v>0</v>
      </c>
      <c r="I199">
        <v>0</v>
      </c>
      <c r="J199">
        <f t="shared" si="100"/>
        <v>0</v>
      </c>
      <c r="K199">
        <f t="shared" si="101"/>
        <v>0</v>
      </c>
      <c r="L199">
        <f t="shared" si="102"/>
        <v>0</v>
      </c>
      <c r="M199">
        <f t="shared" si="103"/>
        <v>0</v>
      </c>
      <c r="N199">
        <f>IF(K336&gt;0,ROUND((K199/K336) * 100, 4), "")</f>
        <v>0</v>
      </c>
      <c r="O199">
        <f>IF(L336&gt;0,ROUND((L199/L336) * 100, 4), "")</f>
        <v>0</v>
      </c>
      <c r="P199">
        <f>IF(M336&gt;0,ROUND((M199/M336) * 100, 4), "")</f>
        <v>0</v>
      </c>
      <c r="Q199">
        <v>0</v>
      </c>
      <c r="R199">
        <v>2</v>
      </c>
      <c r="S199">
        <f t="shared" si="104"/>
        <v>2</v>
      </c>
      <c r="T199">
        <f t="shared" si="105"/>
        <v>0</v>
      </c>
      <c r="U199">
        <f t="shared" si="106"/>
        <v>0</v>
      </c>
      <c r="V199">
        <f t="shared" si="107"/>
        <v>0</v>
      </c>
    </row>
    <row r="200" spans="1:22" x14ac:dyDescent="0.25">
      <c r="A200" t="s">
        <v>195</v>
      </c>
      <c r="B200">
        <v>0</v>
      </c>
      <c r="C200">
        <v>30</v>
      </c>
      <c r="D200">
        <f t="shared" si="98"/>
        <v>30</v>
      </c>
      <c r="E200">
        <v>0</v>
      </c>
      <c r="F200">
        <v>147</v>
      </c>
      <c r="G200">
        <f t="shared" si="99"/>
        <v>147</v>
      </c>
      <c r="H200">
        <v>0</v>
      </c>
      <c r="I200">
        <v>0</v>
      </c>
      <c r="J200">
        <f t="shared" si="100"/>
        <v>0</v>
      </c>
      <c r="K200">
        <f t="shared" si="101"/>
        <v>0</v>
      </c>
      <c r="L200">
        <f t="shared" si="102"/>
        <v>147</v>
      </c>
      <c r="M200">
        <f t="shared" si="103"/>
        <v>147</v>
      </c>
      <c r="N200">
        <f>IF(K336&gt;0,ROUND((K200/K336) * 100, 4), "")</f>
        <v>0</v>
      </c>
      <c r="O200">
        <f>IF(L336&gt;0,ROUND((L200/L336) * 100, 4), "")</f>
        <v>1.6256999999999999</v>
      </c>
      <c r="P200">
        <f>IF(M336&gt;0,ROUND((M200/M336) * 100, 4), "")</f>
        <v>0.42230000000000001</v>
      </c>
      <c r="Q200">
        <v>0</v>
      </c>
      <c r="R200">
        <v>140</v>
      </c>
      <c r="S200">
        <f t="shared" si="104"/>
        <v>140</v>
      </c>
      <c r="T200">
        <f t="shared" si="105"/>
        <v>0</v>
      </c>
      <c r="U200">
        <f t="shared" si="106"/>
        <v>37</v>
      </c>
      <c r="V200">
        <f t="shared" si="107"/>
        <v>37</v>
      </c>
    </row>
    <row r="201" spans="1:22" x14ac:dyDescent="0.25">
      <c r="A201" t="s">
        <v>196</v>
      </c>
      <c r="B201">
        <v>0</v>
      </c>
      <c r="C201">
        <v>2</v>
      </c>
      <c r="D201">
        <f t="shared" si="98"/>
        <v>2</v>
      </c>
      <c r="E201">
        <v>0</v>
      </c>
      <c r="F201">
        <v>23</v>
      </c>
      <c r="G201">
        <f t="shared" si="99"/>
        <v>23</v>
      </c>
      <c r="H201">
        <v>0</v>
      </c>
      <c r="I201">
        <v>0</v>
      </c>
      <c r="J201">
        <f t="shared" si="100"/>
        <v>0</v>
      </c>
      <c r="K201">
        <f t="shared" si="101"/>
        <v>0</v>
      </c>
      <c r="L201">
        <f t="shared" si="102"/>
        <v>23</v>
      </c>
      <c r="M201">
        <f t="shared" si="103"/>
        <v>23</v>
      </c>
      <c r="N201">
        <f>IF(K336&gt;0,ROUND((K201/K336) * 100, 4), "")</f>
        <v>0</v>
      </c>
      <c r="O201">
        <f>IF(L336&gt;0,ROUND((L201/L336) * 100, 4), "")</f>
        <v>0.25440000000000002</v>
      </c>
      <c r="P201">
        <f>IF(M336&gt;0,ROUND((M201/M336) * 100, 4), "")</f>
        <v>6.6100000000000006E-2</v>
      </c>
      <c r="Q201">
        <v>0</v>
      </c>
      <c r="R201">
        <v>22</v>
      </c>
      <c r="S201">
        <f t="shared" si="104"/>
        <v>22</v>
      </c>
      <c r="T201">
        <f t="shared" si="105"/>
        <v>0</v>
      </c>
      <c r="U201">
        <f t="shared" si="106"/>
        <v>3</v>
      </c>
      <c r="V201">
        <f t="shared" si="107"/>
        <v>3</v>
      </c>
    </row>
    <row r="202" spans="1:22" x14ac:dyDescent="0.25">
      <c r="A202" t="s">
        <v>197</v>
      </c>
      <c r="B202">
        <v>0</v>
      </c>
      <c r="C202">
        <v>7</v>
      </c>
      <c r="D202">
        <f t="shared" si="98"/>
        <v>7</v>
      </c>
      <c r="E202">
        <v>0</v>
      </c>
      <c r="F202">
        <v>15</v>
      </c>
      <c r="G202">
        <f t="shared" si="99"/>
        <v>15</v>
      </c>
      <c r="H202">
        <v>0</v>
      </c>
      <c r="I202">
        <v>0</v>
      </c>
      <c r="J202">
        <f t="shared" si="100"/>
        <v>0</v>
      </c>
      <c r="K202">
        <f t="shared" si="101"/>
        <v>0</v>
      </c>
      <c r="L202">
        <f t="shared" si="102"/>
        <v>15</v>
      </c>
      <c r="M202">
        <f t="shared" si="103"/>
        <v>15</v>
      </c>
      <c r="N202">
        <f>IF(K336&gt;0,ROUND((K202/K336) * 100, 4), "")</f>
        <v>0</v>
      </c>
      <c r="O202">
        <f>IF(L336&gt;0,ROUND((L202/L336) * 100, 4), "")</f>
        <v>0.16589999999999999</v>
      </c>
      <c r="P202">
        <f>IF(M336&gt;0,ROUND((M202/M336) * 100, 4), "")</f>
        <v>4.3099999999999999E-2</v>
      </c>
      <c r="Q202">
        <v>0</v>
      </c>
      <c r="R202">
        <v>20</v>
      </c>
      <c r="S202">
        <f t="shared" si="104"/>
        <v>20</v>
      </c>
      <c r="T202">
        <f t="shared" si="105"/>
        <v>0</v>
      </c>
      <c r="U202">
        <f t="shared" si="106"/>
        <v>2</v>
      </c>
      <c r="V202">
        <f t="shared" si="107"/>
        <v>2</v>
      </c>
    </row>
    <row r="203" spans="1:22" x14ac:dyDescent="0.25">
      <c r="A203" t="s">
        <v>198</v>
      </c>
      <c r="B203">
        <v>0</v>
      </c>
      <c r="C203">
        <v>0</v>
      </c>
      <c r="D203">
        <f t="shared" si="98"/>
        <v>0</v>
      </c>
      <c r="E203">
        <v>0</v>
      </c>
      <c r="F203">
        <v>0</v>
      </c>
      <c r="G203">
        <f t="shared" si="99"/>
        <v>0</v>
      </c>
      <c r="H203">
        <v>0</v>
      </c>
      <c r="I203">
        <v>0</v>
      </c>
      <c r="J203">
        <f t="shared" si="100"/>
        <v>0</v>
      </c>
      <c r="K203">
        <f t="shared" si="101"/>
        <v>0</v>
      </c>
      <c r="L203">
        <f t="shared" si="102"/>
        <v>0</v>
      </c>
      <c r="M203">
        <f t="shared" si="103"/>
        <v>0</v>
      </c>
      <c r="N203">
        <f>IF(K336&gt;0,ROUND((K203/K336) * 100, 4), "")</f>
        <v>0</v>
      </c>
      <c r="O203">
        <f>IF(L336&gt;0,ROUND((L203/L336) * 100, 4), "")</f>
        <v>0</v>
      </c>
      <c r="P203">
        <f>IF(M336&gt;0,ROUND((M203/M336) * 100, 4), "")</f>
        <v>0</v>
      </c>
      <c r="Q203">
        <v>0</v>
      </c>
      <c r="R203">
        <v>0</v>
      </c>
      <c r="S203">
        <f t="shared" si="104"/>
        <v>0</v>
      </c>
      <c r="T203">
        <f t="shared" si="105"/>
        <v>0</v>
      </c>
      <c r="U203">
        <f t="shared" si="106"/>
        <v>0</v>
      </c>
      <c r="V203">
        <f t="shared" si="107"/>
        <v>0</v>
      </c>
    </row>
    <row r="204" spans="1:22" x14ac:dyDescent="0.25">
      <c r="A204" t="s">
        <v>199</v>
      </c>
      <c r="B204">
        <v>0</v>
      </c>
      <c r="C204">
        <v>2</v>
      </c>
      <c r="D204">
        <f t="shared" si="98"/>
        <v>2</v>
      </c>
      <c r="E204">
        <v>1</v>
      </c>
      <c r="F204">
        <v>27</v>
      </c>
      <c r="G204">
        <f t="shared" si="99"/>
        <v>28</v>
      </c>
      <c r="H204">
        <v>0</v>
      </c>
      <c r="I204">
        <v>0</v>
      </c>
      <c r="J204">
        <f t="shared" si="100"/>
        <v>0</v>
      </c>
      <c r="K204">
        <f t="shared" si="101"/>
        <v>1</v>
      </c>
      <c r="L204">
        <f t="shared" si="102"/>
        <v>27</v>
      </c>
      <c r="M204">
        <f t="shared" si="103"/>
        <v>28</v>
      </c>
      <c r="N204">
        <f>IF(K336&gt;0,ROUND((K204/K336) * 100, 4), "")</f>
        <v>3.8999999999999998E-3</v>
      </c>
      <c r="O204">
        <f>IF(L336&gt;0,ROUND((L204/L336) * 100, 4), "")</f>
        <v>0.29859999999999998</v>
      </c>
      <c r="P204">
        <f>IF(M336&gt;0,ROUND((M204/M336) * 100, 4), "")</f>
        <v>8.0399999999999999E-2</v>
      </c>
      <c r="Q204">
        <v>1</v>
      </c>
      <c r="R204">
        <v>21</v>
      </c>
      <c r="S204">
        <f t="shared" si="104"/>
        <v>22</v>
      </c>
      <c r="T204">
        <f t="shared" si="105"/>
        <v>0</v>
      </c>
      <c r="U204">
        <f t="shared" si="106"/>
        <v>8</v>
      </c>
      <c r="V204">
        <f t="shared" si="107"/>
        <v>8</v>
      </c>
    </row>
    <row r="205" spans="1:22" x14ac:dyDescent="0.25">
      <c r="A205" t="s">
        <v>200</v>
      </c>
      <c r="B205">
        <v>0</v>
      </c>
      <c r="C205">
        <v>0</v>
      </c>
      <c r="D205">
        <f t="shared" si="98"/>
        <v>0</v>
      </c>
      <c r="E205">
        <v>0</v>
      </c>
      <c r="F205">
        <v>13</v>
      </c>
      <c r="G205">
        <f t="shared" si="99"/>
        <v>13</v>
      </c>
      <c r="H205">
        <v>0</v>
      </c>
      <c r="I205">
        <v>0</v>
      </c>
      <c r="J205">
        <f t="shared" si="100"/>
        <v>0</v>
      </c>
      <c r="K205">
        <f t="shared" si="101"/>
        <v>0</v>
      </c>
      <c r="L205">
        <f t="shared" si="102"/>
        <v>13</v>
      </c>
      <c r="M205">
        <f t="shared" si="103"/>
        <v>13</v>
      </c>
      <c r="N205">
        <f>IF(K336&gt;0,ROUND((K205/K336) * 100, 4), "")</f>
        <v>0</v>
      </c>
      <c r="O205">
        <f>IF(L336&gt;0,ROUND((L205/L336) * 100, 4), "")</f>
        <v>0.14380000000000001</v>
      </c>
      <c r="P205">
        <f>IF(M336&gt;0,ROUND((M205/M336) * 100, 4), "")</f>
        <v>3.73E-2</v>
      </c>
      <c r="Q205">
        <v>0</v>
      </c>
      <c r="R205">
        <v>13</v>
      </c>
      <c r="S205">
        <f t="shared" si="104"/>
        <v>13</v>
      </c>
      <c r="T205">
        <f t="shared" si="105"/>
        <v>0</v>
      </c>
      <c r="U205">
        <f t="shared" si="106"/>
        <v>0</v>
      </c>
      <c r="V205">
        <f t="shared" si="107"/>
        <v>0</v>
      </c>
    </row>
    <row r="206" spans="1:22" x14ac:dyDescent="0.25">
      <c r="A206" t="s">
        <v>201</v>
      </c>
      <c r="B206">
        <v>0</v>
      </c>
      <c r="C206">
        <v>0</v>
      </c>
      <c r="D206">
        <f t="shared" si="98"/>
        <v>0</v>
      </c>
      <c r="E206">
        <v>0</v>
      </c>
      <c r="F206">
        <v>3</v>
      </c>
      <c r="G206">
        <f t="shared" si="99"/>
        <v>3</v>
      </c>
      <c r="H206">
        <v>0</v>
      </c>
      <c r="I206">
        <v>0</v>
      </c>
      <c r="J206">
        <f t="shared" si="100"/>
        <v>0</v>
      </c>
      <c r="K206">
        <f t="shared" si="101"/>
        <v>0</v>
      </c>
      <c r="L206">
        <f t="shared" si="102"/>
        <v>3</v>
      </c>
      <c r="M206">
        <f t="shared" si="103"/>
        <v>3</v>
      </c>
      <c r="N206">
        <f>IF(K336&gt;0,ROUND((K206/K336) * 100, 4), "")</f>
        <v>0</v>
      </c>
      <c r="O206">
        <f>IF(L336&gt;0,ROUND((L206/L336) * 100, 4), "")</f>
        <v>3.32E-2</v>
      </c>
      <c r="P206">
        <f>IF(M336&gt;0,ROUND((M206/M336) * 100, 4), "")</f>
        <v>8.6E-3</v>
      </c>
      <c r="Q206">
        <v>0</v>
      </c>
      <c r="R206">
        <v>3</v>
      </c>
      <c r="S206">
        <f t="shared" si="104"/>
        <v>3</v>
      </c>
      <c r="T206">
        <f t="shared" si="105"/>
        <v>0</v>
      </c>
      <c r="U206">
        <f t="shared" si="106"/>
        <v>0</v>
      </c>
      <c r="V206">
        <f t="shared" si="107"/>
        <v>0</v>
      </c>
    </row>
    <row r="207" spans="1:22" x14ac:dyDescent="0.25">
      <c r="A207" t="s">
        <v>202</v>
      </c>
      <c r="B207">
        <v>0</v>
      </c>
      <c r="C207">
        <v>0</v>
      </c>
      <c r="D207">
        <f t="shared" si="98"/>
        <v>0</v>
      </c>
      <c r="E207">
        <v>0</v>
      </c>
      <c r="F207">
        <v>0</v>
      </c>
      <c r="G207">
        <f t="shared" si="99"/>
        <v>0</v>
      </c>
      <c r="H207">
        <v>0</v>
      </c>
      <c r="I207">
        <v>0</v>
      </c>
      <c r="J207">
        <f t="shared" si="100"/>
        <v>0</v>
      </c>
      <c r="K207">
        <f t="shared" si="101"/>
        <v>0</v>
      </c>
      <c r="L207">
        <f t="shared" si="102"/>
        <v>0</v>
      </c>
      <c r="M207">
        <f t="shared" si="103"/>
        <v>0</v>
      </c>
      <c r="N207">
        <f>IF(K336&gt;0,ROUND((K207/K336) * 100, 4), "")</f>
        <v>0</v>
      </c>
      <c r="O207">
        <f>IF(L336&gt;0,ROUND((L207/L336) * 100, 4), "")</f>
        <v>0</v>
      </c>
      <c r="P207">
        <f>IF(M336&gt;0,ROUND((M207/M336) * 100, 4), "")</f>
        <v>0</v>
      </c>
      <c r="Q207">
        <v>0</v>
      </c>
      <c r="R207">
        <v>0</v>
      </c>
      <c r="S207">
        <f t="shared" si="104"/>
        <v>0</v>
      </c>
      <c r="T207">
        <f t="shared" si="105"/>
        <v>0</v>
      </c>
      <c r="U207">
        <f t="shared" si="106"/>
        <v>0</v>
      </c>
      <c r="V207">
        <f t="shared" si="107"/>
        <v>0</v>
      </c>
    </row>
    <row r="209" spans="1:22" x14ac:dyDescent="0.25">
      <c r="A209" s="8" t="s">
        <v>203</v>
      </c>
      <c r="B209" s="8" t="s">
        <v>203</v>
      </c>
      <c r="C209" s="8" t="s">
        <v>203</v>
      </c>
      <c r="D209" s="8" t="s">
        <v>203</v>
      </c>
      <c r="E209" s="8" t="s">
        <v>203</v>
      </c>
      <c r="F209" s="8" t="s">
        <v>203</v>
      </c>
      <c r="G209" s="8" t="s">
        <v>203</v>
      </c>
      <c r="H209" s="8" t="s">
        <v>203</v>
      </c>
      <c r="I209" s="8" t="s">
        <v>203</v>
      </c>
      <c r="J209" s="8" t="s">
        <v>203</v>
      </c>
      <c r="K209" s="8" t="s">
        <v>203</v>
      </c>
      <c r="L209" s="8" t="s">
        <v>203</v>
      </c>
      <c r="M209" s="8" t="s">
        <v>203</v>
      </c>
      <c r="N209" s="8" t="s">
        <v>203</v>
      </c>
      <c r="O209" s="8" t="s">
        <v>203</v>
      </c>
      <c r="P209" s="8" t="s">
        <v>203</v>
      </c>
      <c r="Q209" s="8" t="s">
        <v>203</v>
      </c>
      <c r="R209" s="8" t="s">
        <v>203</v>
      </c>
      <c r="S209" s="8" t="s">
        <v>203</v>
      </c>
      <c r="T209" s="8" t="s">
        <v>203</v>
      </c>
      <c r="U209" s="8" t="s">
        <v>203</v>
      </c>
      <c r="V209" s="8" t="s">
        <v>203</v>
      </c>
    </row>
    <row r="210" spans="1:22" x14ac:dyDescent="0.25">
      <c r="A210" t="s">
        <v>204</v>
      </c>
      <c r="B210">
        <v>2</v>
      </c>
      <c r="C210">
        <v>14</v>
      </c>
      <c r="D210">
        <f t="shared" ref="D210:D251" si="108">B210+C210</f>
        <v>16</v>
      </c>
      <c r="E210">
        <v>11</v>
      </c>
      <c r="F210">
        <v>71</v>
      </c>
      <c r="G210">
        <f t="shared" ref="G210:G251" si="109">E210+F210</f>
        <v>82</v>
      </c>
      <c r="H210">
        <v>0</v>
      </c>
      <c r="I210">
        <v>2</v>
      </c>
      <c r="J210">
        <f t="shared" ref="J210:J251" si="110">H210+I210</f>
        <v>2</v>
      </c>
      <c r="K210">
        <f t="shared" ref="K210:K251" si="111">E210 + H210</f>
        <v>11</v>
      </c>
      <c r="L210">
        <f t="shared" ref="L210:L251" si="112">F210 + I210</f>
        <v>73</v>
      </c>
      <c r="M210">
        <f t="shared" ref="M210:M251" si="113">K210 + L210</f>
        <v>84</v>
      </c>
      <c r="N210">
        <f>IF(K336&gt;0,ROUND((K210/K336) * 100, 4), "")</f>
        <v>4.2700000000000002E-2</v>
      </c>
      <c r="O210">
        <f>IF(L336&gt;0,ROUND((L210/L336) * 100, 4), "")</f>
        <v>0.80730000000000002</v>
      </c>
      <c r="P210">
        <f>IF(M336&gt;0,ROUND((M210/M336) * 100, 4), "")</f>
        <v>0.24129999999999999</v>
      </c>
      <c r="Q210">
        <v>13</v>
      </c>
      <c r="R210">
        <v>65</v>
      </c>
      <c r="S210">
        <f t="shared" ref="S210:S251" si="114">Q210 + R210</f>
        <v>78</v>
      </c>
      <c r="T210">
        <f t="shared" ref="T210:T251" si="115">B210 + K210 - Q210</f>
        <v>0</v>
      </c>
      <c r="U210">
        <f t="shared" ref="U210:U251" si="116">C210 + L210 - R210</f>
        <v>22</v>
      </c>
      <c r="V210">
        <f t="shared" ref="V210:V251" si="117">T210 + U210</f>
        <v>22</v>
      </c>
    </row>
    <row r="211" spans="1:22" x14ac:dyDescent="0.25">
      <c r="A211" t="s">
        <v>205</v>
      </c>
      <c r="B211">
        <v>0</v>
      </c>
      <c r="C211">
        <v>0</v>
      </c>
      <c r="D211">
        <f t="shared" si="108"/>
        <v>0</v>
      </c>
      <c r="E211">
        <v>0</v>
      </c>
      <c r="F211">
        <v>0</v>
      </c>
      <c r="G211">
        <f t="shared" si="109"/>
        <v>0</v>
      </c>
      <c r="H211">
        <v>0</v>
      </c>
      <c r="I211">
        <v>0</v>
      </c>
      <c r="J211">
        <f t="shared" si="110"/>
        <v>0</v>
      </c>
      <c r="K211">
        <f t="shared" si="111"/>
        <v>0</v>
      </c>
      <c r="L211">
        <f t="shared" si="112"/>
        <v>0</v>
      </c>
      <c r="M211">
        <f t="shared" si="113"/>
        <v>0</v>
      </c>
      <c r="N211">
        <f>IF(K336&gt;0,ROUND((K211/K336) * 100, 4), "")</f>
        <v>0</v>
      </c>
      <c r="O211">
        <f>IF(L336&gt;0,ROUND((L211/L336) * 100, 4), "")</f>
        <v>0</v>
      </c>
      <c r="P211">
        <f>IF(M336&gt;0,ROUND((M211/M336) * 100, 4), "")</f>
        <v>0</v>
      </c>
      <c r="Q211">
        <v>0</v>
      </c>
      <c r="R211">
        <v>0</v>
      </c>
      <c r="S211">
        <f t="shared" si="114"/>
        <v>0</v>
      </c>
      <c r="T211">
        <f t="shared" si="115"/>
        <v>0</v>
      </c>
      <c r="U211">
        <f t="shared" si="116"/>
        <v>0</v>
      </c>
      <c r="V211">
        <f t="shared" si="117"/>
        <v>0</v>
      </c>
    </row>
    <row r="212" spans="1:22" x14ac:dyDescent="0.25">
      <c r="A212" t="s">
        <v>206</v>
      </c>
      <c r="B212">
        <v>0</v>
      </c>
      <c r="C212">
        <v>0</v>
      </c>
      <c r="D212">
        <f t="shared" si="108"/>
        <v>0</v>
      </c>
      <c r="E212">
        <v>0</v>
      </c>
      <c r="F212">
        <v>0</v>
      </c>
      <c r="G212">
        <f t="shared" si="109"/>
        <v>0</v>
      </c>
      <c r="H212">
        <v>0</v>
      </c>
      <c r="I212">
        <v>0</v>
      </c>
      <c r="J212">
        <f t="shared" si="110"/>
        <v>0</v>
      </c>
      <c r="K212">
        <f t="shared" si="111"/>
        <v>0</v>
      </c>
      <c r="L212">
        <f t="shared" si="112"/>
        <v>0</v>
      </c>
      <c r="M212">
        <f t="shared" si="113"/>
        <v>0</v>
      </c>
      <c r="N212">
        <f>IF(K336&gt;0,ROUND((K212/K336) * 100, 4), "")</f>
        <v>0</v>
      </c>
      <c r="O212">
        <f>IF(L336&gt;0,ROUND((L212/L336) * 100, 4), "")</f>
        <v>0</v>
      </c>
      <c r="P212">
        <f>IF(M336&gt;0,ROUND((M212/M336) * 100, 4), "")</f>
        <v>0</v>
      </c>
      <c r="Q212">
        <v>0</v>
      </c>
      <c r="R212">
        <v>0</v>
      </c>
      <c r="S212">
        <f t="shared" si="114"/>
        <v>0</v>
      </c>
      <c r="T212">
        <f t="shared" si="115"/>
        <v>0</v>
      </c>
      <c r="U212">
        <f t="shared" si="116"/>
        <v>0</v>
      </c>
      <c r="V212">
        <f t="shared" si="117"/>
        <v>0</v>
      </c>
    </row>
    <row r="213" spans="1:22" x14ac:dyDescent="0.25">
      <c r="A213" t="s">
        <v>207</v>
      </c>
      <c r="B213">
        <v>0</v>
      </c>
      <c r="C213">
        <v>27</v>
      </c>
      <c r="D213">
        <f t="shared" si="108"/>
        <v>27</v>
      </c>
      <c r="E213">
        <v>0</v>
      </c>
      <c r="F213">
        <v>126</v>
      </c>
      <c r="G213">
        <f t="shared" si="109"/>
        <v>126</v>
      </c>
      <c r="H213">
        <v>0</v>
      </c>
      <c r="I213">
        <v>1</v>
      </c>
      <c r="J213">
        <f t="shared" si="110"/>
        <v>1</v>
      </c>
      <c r="K213">
        <f t="shared" si="111"/>
        <v>0</v>
      </c>
      <c r="L213">
        <f t="shared" si="112"/>
        <v>127</v>
      </c>
      <c r="M213">
        <f t="shared" si="113"/>
        <v>127</v>
      </c>
      <c r="N213">
        <f>IF(K336&gt;0,ROUND((K213/K336) * 100, 4), "")</f>
        <v>0</v>
      </c>
      <c r="O213">
        <f>IF(L336&gt;0,ROUND((L213/L336) * 100, 4), "")</f>
        <v>1.4046000000000001</v>
      </c>
      <c r="P213">
        <f>IF(M336&gt;0,ROUND((M213/M336) * 100, 4), "")</f>
        <v>0.36480000000000001</v>
      </c>
      <c r="Q213">
        <v>0</v>
      </c>
      <c r="R213">
        <v>111</v>
      </c>
      <c r="S213">
        <f t="shared" si="114"/>
        <v>111</v>
      </c>
      <c r="T213">
        <f t="shared" si="115"/>
        <v>0</v>
      </c>
      <c r="U213">
        <f t="shared" si="116"/>
        <v>43</v>
      </c>
      <c r="V213">
        <f t="shared" si="117"/>
        <v>43</v>
      </c>
    </row>
    <row r="214" spans="1:22" x14ac:dyDescent="0.25">
      <c r="A214" t="s">
        <v>208</v>
      </c>
      <c r="B214">
        <v>0</v>
      </c>
      <c r="C214">
        <v>8</v>
      </c>
      <c r="D214">
        <f t="shared" si="108"/>
        <v>8</v>
      </c>
      <c r="E214">
        <v>3</v>
      </c>
      <c r="F214">
        <v>76</v>
      </c>
      <c r="G214">
        <f t="shared" si="109"/>
        <v>79</v>
      </c>
      <c r="H214">
        <v>0</v>
      </c>
      <c r="I214">
        <v>2</v>
      </c>
      <c r="J214">
        <f t="shared" si="110"/>
        <v>2</v>
      </c>
      <c r="K214">
        <f t="shared" si="111"/>
        <v>3</v>
      </c>
      <c r="L214">
        <f t="shared" si="112"/>
        <v>78</v>
      </c>
      <c r="M214">
        <f t="shared" si="113"/>
        <v>81</v>
      </c>
      <c r="N214">
        <f>IF(K336&gt;0,ROUND((K214/K336) * 100, 4), "")</f>
        <v>1.1599999999999999E-2</v>
      </c>
      <c r="O214">
        <f>IF(L336&gt;0,ROUND((L214/L336) * 100, 4), "")</f>
        <v>0.86260000000000003</v>
      </c>
      <c r="P214">
        <f>IF(M336&gt;0,ROUND((M214/M336) * 100, 4), "")</f>
        <v>0.23269999999999999</v>
      </c>
      <c r="Q214">
        <v>2</v>
      </c>
      <c r="R214">
        <v>76</v>
      </c>
      <c r="S214">
        <f t="shared" si="114"/>
        <v>78</v>
      </c>
      <c r="T214">
        <f t="shared" si="115"/>
        <v>1</v>
      </c>
      <c r="U214">
        <f t="shared" si="116"/>
        <v>10</v>
      </c>
      <c r="V214">
        <f t="shared" si="117"/>
        <v>11</v>
      </c>
    </row>
    <row r="215" spans="1:22" x14ac:dyDescent="0.25">
      <c r="A215" t="s">
        <v>209</v>
      </c>
      <c r="B215">
        <v>0</v>
      </c>
      <c r="C215">
        <v>0</v>
      </c>
      <c r="D215">
        <f t="shared" si="108"/>
        <v>0</v>
      </c>
      <c r="E215">
        <v>0</v>
      </c>
      <c r="F215">
        <v>5</v>
      </c>
      <c r="G215">
        <f t="shared" si="109"/>
        <v>5</v>
      </c>
      <c r="H215">
        <v>0</v>
      </c>
      <c r="I215">
        <v>0</v>
      </c>
      <c r="J215">
        <f t="shared" si="110"/>
        <v>0</v>
      </c>
      <c r="K215">
        <f t="shared" si="111"/>
        <v>0</v>
      </c>
      <c r="L215">
        <f t="shared" si="112"/>
        <v>5</v>
      </c>
      <c r="M215">
        <f t="shared" si="113"/>
        <v>5</v>
      </c>
      <c r="N215">
        <f>IF(K336&gt;0,ROUND((K215/K336) * 100, 4), "")</f>
        <v>0</v>
      </c>
      <c r="O215">
        <f>IF(L336&gt;0,ROUND((L215/L336) * 100, 4), "")</f>
        <v>5.5300000000000002E-2</v>
      </c>
      <c r="P215">
        <f>IF(M336&gt;0,ROUND((M215/M336) * 100, 4), "")</f>
        <v>1.44E-2</v>
      </c>
      <c r="Q215">
        <v>0</v>
      </c>
      <c r="R215">
        <v>5</v>
      </c>
      <c r="S215">
        <f t="shared" si="114"/>
        <v>5</v>
      </c>
      <c r="T215">
        <f t="shared" si="115"/>
        <v>0</v>
      </c>
      <c r="U215">
        <f t="shared" si="116"/>
        <v>0</v>
      </c>
      <c r="V215">
        <f t="shared" si="117"/>
        <v>0</v>
      </c>
    </row>
    <row r="216" spans="1:22" x14ac:dyDescent="0.25">
      <c r="A216" t="s">
        <v>210</v>
      </c>
      <c r="B216">
        <v>0</v>
      </c>
      <c r="C216">
        <v>8</v>
      </c>
      <c r="D216">
        <f t="shared" si="108"/>
        <v>8</v>
      </c>
      <c r="E216">
        <v>0</v>
      </c>
      <c r="F216">
        <v>93</v>
      </c>
      <c r="G216">
        <f t="shared" si="109"/>
        <v>93</v>
      </c>
      <c r="H216">
        <v>0</v>
      </c>
      <c r="I216">
        <v>0</v>
      </c>
      <c r="J216">
        <f t="shared" si="110"/>
        <v>0</v>
      </c>
      <c r="K216">
        <f t="shared" si="111"/>
        <v>0</v>
      </c>
      <c r="L216">
        <f t="shared" si="112"/>
        <v>93</v>
      </c>
      <c r="M216">
        <f t="shared" si="113"/>
        <v>93</v>
      </c>
      <c r="N216">
        <f>IF(K336&gt;0,ROUND((K216/K336) * 100, 4), "")</f>
        <v>0</v>
      </c>
      <c r="O216">
        <f>IF(L336&gt;0,ROUND((L216/L336) * 100, 4), "")</f>
        <v>1.0285</v>
      </c>
      <c r="P216">
        <f>IF(M336&gt;0,ROUND((M216/M336) * 100, 4), "")</f>
        <v>0.26719999999999999</v>
      </c>
      <c r="Q216">
        <v>0</v>
      </c>
      <c r="R216">
        <v>97</v>
      </c>
      <c r="S216">
        <f t="shared" si="114"/>
        <v>97</v>
      </c>
      <c r="T216">
        <f t="shared" si="115"/>
        <v>0</v>
      </c>
      <c r="U216">
        <f t="shared" si="116"/>
        <v>4</v>
      </c>
      <c r="V216">
        <f t="shared" si="117"/>
        <v>4</v>
      </c>
    </row>
    <row r="217" spans="1:22" x14ac:dyDescent="0.25">
      <c r="A217" t="s">
        <v>211</v>
      </c>
      <c r="B217">
        <v>0</v>
      </c>
      <c r="C217">
        <v>0</v>
      </c>
      <c r="D217">
        <f t="shared" si="108"/>
        <v>0</v>
      </c>
      <c r="E217">
        <v>1</v>
      </c>
      <c r="F217">
        <v>0</v>
      </c>
      <c r="G217">
        <f t="shared" si="109"/>
        <v>1</v>
      </c>
      <c r="H217">
        <v>0</v>
      </c>
      <c r="I217">
        <v>0</v>
      </c>
      <c r="J217">
        <f t="shared" si="110"/>
        <v>0</v>
      </c>
      <c r="K217">
        <f t="shared" si="111"/>
        <v>1</v>
      </c>
      <c r="L217">
        <f t="shared" si="112"/>
        <v>0</v>
      </c>
      <c r="M217">
        <f t="shared" si="113"/>
        <v>1</v>
      </c>
      <c r="N217">
        <f>IF(K336&gt;0,ROUND((K217/K336) * 100, 4), "")</f>
        <v>3.8999999999999998E-3</v>
      </c>
      <c r="O217">
        <f>IF(L336&gt;0,ROUND((L217/L336) * 100, 4), "")</f>
        <v>0</v>
      </c>
      <c r="P217">
        <f>IF(M336&gt;0,ROUND((M217/M336) * 100, 4), "")</f>
        <v>2.8999999999999998E-3</v>
      </c>
      <c r="Q217">
        <v>1</v>
      </c>
      <c r="R217">
        <v>0</v>
      </c>
      <c r="S217">
        <f t="shared" si="114"/>
        <v>1</v>
      </c>
      <c r="T217">
        <f t="shared" si="115"/>
        <v>0</v>
      </c>
      <c r="U217">
        <f t="shared" si="116"/>
        <v>0</v>
      </c>
      <c r="V217">
        <f t="shared" si="117"/>
        <v>0</v>
      </c>
    </row>
    <row r="218" spans="1:22" x14ac:dyDescent="0.25">
      <c r="A218" t="s">
        <v>212</v>
      </c>
      <c r="B218">
        <v>0</v>
      </c>
      <c r="C218">
        <v>1</v>
      </c>
      <c r="D218">
        <f t="shared" si="108"/>
        <v>1</v>
      </c>
      <c r="E218">
        <v>21</v>
      </c>
      <c r="F218">
        <v>58</v>
      </c>
      <c r="G218">
        <f t="shared" si="109"/>
        <v>79</v>
      </c>
      <c r="H218">
        <v>0</v>
      </c>
      <c r="I218">
        <v>1</v>
      </c>
      <c r="J218">
        <f t="shared" si="110"/>
        <v>1</v>
      </c>
      <c r="K218">
        <f t="shared" si="111"/>
        <v>21</v>
      </c>
      <c r="L218">
        <f t="shared" si="112"/>
        <v>59</v>
      </c>
      <c r="M218">
        <f t="shared" si="113"/>
        <v>80</v>
      </c>
      <c r="N218">
        <f>IF(K336&gt;0,ROUND((K218/K336) * 100, 4), "")</f>
        <v>8.1500000000000003E-2</v>
      </c>
      <c r="O218">
        <f>IF(L336&gt;0,ROUND((L218/L336) * 100, 4), "")</f>
        <v>0.65249999999999997</v>
      </c>
      <c r="P218">
        <f>IF(M336&gt;0,ROUND((M218/M336) * 100, 4), "")</f>
        <v>0.2298</v>
      </c>
      <c r="Q218">
        <v>18</v>
      </c>
      <c r="R218">
        <v>59</v>
      </c>
      <c r="S218">
        <f t="shared" si="114"/>
        <v>77</v>
      </c>
      <c r="T218">
        <f t="shared" si="115"/>
        <v>3</v>
      </c>
      <c r="U218">
        <f t="shared" si="116"/>
        <v>1</v>
      </c>
      <c r="V218">
        <f t="shared" si="117"/>
        <v>4</v>
      </c>
    </row>
    <row r="219" spans="1:22" x14ac:dyDescent="0.25">
      <c r="A219" t="s">
        <v>213</v>
      </c>
      <c r="B219">
        <v>0</v>
      </c>
      <c r="C219">
        <v>2</v>
      </c>
      <c r="D219">
        <f t="shared" si="108"/>
        <v>2</v>
      </c>
      <c r="E219">
        <v>4</v>
      </c>
      <c r="F219">
        <v>14</v>
      </c>
      <c r="G219">
        <f t="shared" si="109"/>
        <v>18</v>
      </c>
      <c r="H219">
        <v>0</v>
      </c>
      <c r="I219">
        <v>0</v>
      </c>
      <c r="J219">
        <f t="shared" si="110"/>
        <v>0</v>
      </c>
      <c r="K219">
        <f t="shared" si="111"/>
        <v>4</v>
      </c>
      <c r="L219">
        <f t="shared" si="112"/>
        <v>14</v>
      </c>
      <c r="M219">
        <f t="shared" si="113"/>
        <v>18</v>
      </c>
      <c r="N219">
        <f>IF(K336&gt;0,ROUND((K219/K336) * 100, 4), "")</f>
        <v>1.55E-2</v>
      </c>
      <c r="O219">
        <f>IF(L336&gt;0,ROUND((L219/L336) * 100, 4), "")</f>
        <v>0.15479999999999999</v>
      </c>
      <c r="P219">
        <f>IF(M336&gt;0,ROUND((M219/M336) * 100, 4), "")</f>
        <v>5.1700000000000003E-2</v>
      </c>
      <c r="Q219">
        <v>4</v>
      </c>
      <c r="R219">
        <v>10</v>
      </c>
      <c r="S219">
        <f t="shared" si="114"/>
        <v>14</v>
      </c>
      <c r="T219">
        <f t="shared" si="115"/>
        <v>0</v>
      </c>
      <c r="U219">
        <f t="shared" si="116"/>
        <v>6</v>
      </c>
      <c r="V219">
        <f t="shared" si="117"/>
        <v>6</v>
      </c>
    </row>
    <row r="220" spans="1:22" x14ac:dyDescent="0.25">
      <c r="A220" t="s">
        <v>214</v>
      </c>
      <c r="B220">
        <v>0</v>
      </c>
      <c r="C220">
        <v>8</v>
      </c>
      <c r="D220">
        <f t="shared" si="108"/>
        <v>8</v>
      </c>
      <c r="E220">
        <v>0</v>
      </c>
      <c r="F220">
        <v>17</v>
      </c>
      <c r="G220">
        <f t="shared" si="109"/>
        <v>17</v>
      </c>
      <c r="H220">
        <v>0</v>
      </c>
      <c r="I220">
        <v>0</v>
      </c>
      <c r="J220">
        <f t="shared" si="110"/>
        <v>0</v>
      </c>
      <c r="K220">
        <f t="shared" si="111"/>
        <v>0</v>
      </c>
      <c r="L220">
        <f t="shared" si="112"/>
        <v>17</v>
      </c>
      <c r="M220">
        <f t="shared" si="113"/>
        <v>17</v>
      </c>
      <c r="N220">
        <f>IF(K336&gt;0,ROUND((K220/K336) * 100, 4), "")</f>
        <v>0</v>
      </c>
      <c r="O220">
        <f>IF(L336&gt;0,ROUND((L220/L336) * 100, 4), "")</f>
        <v>0.188</v>
      </c>
      <c r="P220">
        <f>IF(M336&gt;0,ROUND((M220/M336) * 100, 4), "")</f>
        <v>4.8800000000000003E-2</v>
      </c>
      <c r="Q220">
        <v>0</v>
      </c>
      <c r="R220">
        <v>22</v>
      </c>
      <c r="S220">
        <f t="shared" si="114"/>
        <v>22</v>
      </c>
      <c r="T220">
        <f t="shared" si="115"/>
        <v>0</v>
      </c>
      <c r="U220">
        <f t="shared" si="116"/>
        <v>3</v>
      </c>
      <c r="V220">
        <f t="shared" si="117"/>
        <v>3</v>
      </c>
    </row>
    <row r="221" spans="1:22" x14ac:dyDescent="0.25">
      <c r="A221" t="s">
        <v>215</v>
      </c>
      <c r="B221">
        <v>87</v>
      </c>
      <c r="C221">
        <v>24</v>
      </c>
      <c r="D221">
        <f t="shared" si="108"/>
        <v>111</v>
      </c>
      <c r="E221">
        <v>10</v>
      </c>
      <c r="F221">
        <v>123</v>
      </c>
      <c r="G221">
        <f t="shared" si="109"/>
        <v>133</v>
      </c>
      <c r="H221">
        <v>0</v>
      </c>
      <c r="I221">
        <v>0</v>
      </c>
      <c r="J221">
        <f t="shared" si="110"/>
        <v>0</v>
      </c>
      <c r="K221">
        <f t="shared" si="111"/>
        <v>10</v>
      </c>
      <c r="L221">
        <f t="shared" si="112"/>
        <v>123</v>
      </c>
      <c r="M221">
        <f t="shared" si="113"/>
        <v>133</v>
      </c>
      <c r="N221">
        <f>IF(K336&gt;0,ROUND((K221/K336) * 100, 4), "")</f>
        <v>3.8800000000000001E-2</v>
      </c>
      <c r="O221">
        <f>IF(L336&gt;0,ROUND((L221/L336) * 100, 4), "")</f>
        <v>1.3603000000000001</v>
      </c>
      <c r="P221">
        <f>IF(M336&gt;0,ROUND((M221/M336) * 100, 4), "")</f>
        <v>0.3821</v>
      </c>
      <c r="Q221">
        <v>8</v>
      </c>
      <c r="R221">
        <v>103</v>
      </c>
      <c r="S221">
        <f t="shared" si="114"/>
        <v>111</v>
      </c>
      <c r="T221">
        <f t="shared" si="115"/>
        <v>89</v>
      </c>
      <c r="U221">
        <f t="shared" si="116"/>
        <v>44</v>
      </c>
      <c r="V221">
        <f t="shared" si="117"/>
        <v>133</v>
      </c>
    </row>
    <row r="222" spans="1:22" x14ac:dyDescent="0.25">
      <c r="A222" t="s">
        <v>216</v>
      </c>
      <c r="B222">
        <v>0</v>
      </c>
      <c r="C222">
        <v>2</v>
      </c>
      <c r="D222">
        <f t="shared" si="108"/>
        <v>2</v>
      </c>
      <c r="E222">
        <v>1</v>
      </c>
      <c r="F222">
        <v>19</v>
      </c>
      <c r="G222">
        <f t="shared" si="109"/>
        <v>20</v>
      </c>
      <c r="H222">
        <v>0</v>
      </c>
      <c r="I222">
        <v>0</v>
      </c>
      <c r="J222">
        <f t="shared" si="110"/>
        <v>0</v>
      </c>
      <c r="K222">
        <f t="shared" si="111"/>
        <v>1</v>
      </c>
      <c r="L222">
        <f t="shared" si="112"/>
        <v>19</v>
      </c>
      <c r="M222">
        <f t="shared" si="113"/>
        <v>20</v>
      </c>
      <c r="N222">
        <f>IF(K336&gt;0,ROUND((K222/K336) * 100, 4), "")</f>
        <v>3.8999999999999998E-3</v>
      </c>
      <c r="O222">
        <f>IF(L336&gt;0,ROUND((L222/L336) * 100, 4), "")</f>
        <v>0.21010000000000001</v>
      </c>
      <c r="P222">
        <f>IF(M336&gt;0,ROUND((M222/M336) * 100, 4), "")</f>
        <v>5.7500000000000002E-2</v>
      </c>
      <c r="Q222">
        <v>1</v>
      </c>
      <c r="R222">
        <v>20</v>
      </c>
      <c r="S222">
        <f t="shared" si="114"/>
        <v>21</v>
      </c>
      <c r="T222">
        <f t="shared" si="115"/>
        <v>0</v>
      </c>
      <c r="U222">
        <f t="shared" si="116"/>
        <v>1</v>
      </c>
      <c r="V222">
        <f t="shared" si="117"/>
        <v>1</v>
      </c>
    </row>
    <row r="223" spans="1:22" x14ac:dyDescent="0.25">
      <c r="A223" t="s">
        <v>217</v>
      </c>
      <c r="B223">
        <v>0</v>
      </c>
      <c r="C223">
        <v>0</v>
      </c>
      <c r="D223">
        <f t="shared" si="108"/>
        <v>0</v>
      </c>
      <c r="E223">
        <v>0</v>
      </c>
      <c r="F223">
        <v>2</v>
      </c>
      <c r="G223">
        <f t="shared" si="109"/>
        <v>2</v>
      </c>
      <c r="H223">
        <v>0</v>
      </c>
      <c r="I223">
        <v>0</v>
      </c>
      <c r="J223">
        <f t="shared" si="110"/>
        <v>0</v>
      </c>
      <c r="K223">
        <f t="shared" si="111"/>
        <v>0</v>
      </c>
      <c r="L223">
        <f t="shared" si="112"/>
        <v>2</v>
      </c>
      <c r="M223">
        <f t="shared" si="113"/>
        <v>2</v>
      </c>
      <c r="N223">
        <f>IF(K336&gt;0,ROUND((K223/K336) * 100, 4), "")</f>
        <v>0</v>
      </c>
      <c r="O223">
        <f>IF(L336&gt;0,ROUND((L223/L336) * 100, 4), "")</f>
        <v>2.2100000000000002E-2</v>
      </c>
      <c r="P223">
        <f>IF(M336&gt;0,ROUND((M223/M336) * 100, 4), "")</f>
        <v>5.7000000000000002E-3</v>
      </c>
      <c r="Q223">
        <v>0</v>
      </c>
      <c r="R223">
        <v>2</v>
      </c>
      <c r="S223">
        <f t="shared" si="114"/>
        <v>2</v>
      </c>
      <c r="T223">
        <f t="shared" si="115"/>
        <v>0</v>
      </c>
      <c r="U223">
        <f t="shared" si="116"/>
        <v>0</v>
      </c>
      <c r="V223">
        <f t="shared" si="117"/>
        <v>0</v>
      </c>
    </row>
    <row r="224" spans="1:22" x14ac:dyDescent="0.25">
      <c r="A224" t="s">
        <v>218</v>
      </c>
      <c r="B224">
        <v>0</v>
      </c>
      <c r="C224">
        <v>1</v>
      </c>
      <c r="D224">
        <f t="shared" si="108"/>
        <v>1</v>
      </c>
      <c r="E224">
        <v>1</v>
      </c>
      <c r="F224">
        <v>21</v>
      </c>
      <c r="G224">
        <f t="shared" si="109"/>
        <v>22</v>
      </c>
      <c r="H224">
        <v>0</v>
      </c>
      <c r="I224">
        <v>0</v>
      </c>
      <c r="J224">
        <f t="shared" si="110"/>
        <v>0</v>
      </c>
      <c r="K224">
        <f t="shared" si="111"/>
        <v>1</v>
      </c>
      <c r="L224">
        <f t="shared" si="112"/>
        <v>21</v>
      </c>
      <c r="M224">
        <f t="shared" si="113"/>
        <v>22</v>
      </c>
      <c r="N224">
        <f>IF(K336&gt;0,ROUND((K224/K336) * 100, 4), "")</f>
        <v>3.8999999999999998E-3</v>
      </c>
      <c r="O224">
        <f>IF(L336&gt;0,ROUND((L224/L336) * 100, 4), "")</f>
        <v>0.23219999999999999</v>
      </c>
      <c r="P224">
        <f>IF(M336&gt;0,ROUND((M224/M336) * 100, 4), "")</f>
        <v>6.3200000000000006E-2</v>
      </c>
      <c r="Q224">
        <v>0</v>
      </c>
      <c r="R224">
        <v>19</v>
      </c>
      <c r="S224">
        <f t="shared" si="114"/>
        <v>19</v>
      </c>
      <c r="T224">
        <f t="shared" si="115"/>
        <v>1</v>
      </c>
      <c r="U224">
        <f t="shared" si="116"/>
        <v>3</v>
      </c>
      <c r="V224">
        <f t="shared" si="117"/>
        <v>4</v>
      </c>
    </row>
    <row r="225" spans="1:22" x14ac:dyDescent="0.25">
      <c r="A225" t="s">
        <v>219</v>
      </c>
      <c r="B225">
        <v>0</v>
      </c>
      <c r="C225">
        <v>30</v>
      </c>
      <c r="D225">
        <f t="shared" si="108"/>
        <v>30</v>
      </c>
      <c r="E225">
        <v>13</v>
      </c>
      <c r="F225">
        <v>208</v>
      </c>
      <c r="G225">
        <f t="shared" si="109"/>
        <v>221</v>
      </c>
      <c r="H225">
        <v>0</v>
      </c>
      <c r="I225">
        <v>15</v>
      </c>
      <c r="J225">
        <f t="shared" si="110"/>
        <v>15</v>
      </c>
      <c r="K225">
        <f t="shared" si="111"/>
        <v>13</v>
      </c>
      <c r="L225">
        <f t="shared" si="112"/>
        <v>223</v>
      </c>
      <c r="M225">
        <f t="shared" si="113"/>
        <v>236</v>
      </c>
      <c r="N225">
        <f>IF(K336&gt;0,ROUND((K225/K336) * 100, 4), "")</f>
        <v>5.0500000000000003E-2</v>
      </c>
      <c r="O225">
        <f>IF(L336&gt;0,ROUND((L225/L336) * 100, 4), "")</f>
        <v>2.4662999999999999</v>
      </c>
      <c r="P225">
        <f>IF(M336&gt;0,ROUND((M225/M336) * 100, 4), "")</f>
        <v>0.67800000000000005</v>
      </c>
      <c r="Q225">
        <v>12</v>
      </c>
      <c r="R225">
        <v>214</v>
      </c>
      <c r="S225">
        <f t="shared" si="114"/>
        <v>226</v>
      </c>
      <c r="T225">
        <f t="shared" si="115"/>
        <v>1</v>
      </c>
      <c r="U225">
        <f t="shared" si="116"/>
        <v>39</v>
      </c>
      <c r="V225">
        <f t="shared" si="117"/>
        <v>40</v>
      </c>
    </row>
    <row r="226" spans="1:22" x14ac:dyDescent="0.25">
      <c r="A226" t="s">
        <v>220</v>
      </c>
      <c r="B226">
        <v>0</v>
      </c>
      <c r="C226">
        <v>0</v>
      </c>
      <c r="D226">
        <f t="shared" si="108"/>
        <v>0</v>
      </c>
      <c r="E226">
        <v>0</v>
      </c>
      <c r="F226">
        <v>0</v>
      </c>
      <c r="G226">
        <f t="shared" si="109"/>
        <v>0</v>
      </c>
      <c r="H226">
        <v>0</v>
      </c>
      <c r="I226">
        <v>0</v>
      </c>
      <c r="J226">
        <f t="shared" si="110"/>
        <v>0</v>
      </c>
      <c r="K226">
        <f t="shared" si="111"/>
        <v>0</v>
      </c>
      <c r="L226">
        <f t="shared" si="112"/>
        <v>0</v>
      </c>
      <c r="M226">
        <f t="shared" si="113"/>
        <v>0</v>
      </c>
      <c r="N226">
        <f>IF(K336&gt;0,ROUND((K226/K336) * 100, 4), "")</f>
        <v>0</v>
      </c>
      <c r="O226">
        <f>IF(L336&gt;0,ROUND((L226/L336) * 100, 4), "")</f>
        <v>0</v>
      </c>
      <c r="P226">
        <f>IF(M336&gt;0,ROUND((M226/M336) * 100, 4), "")</f>
        <v>0</v>
      </c>
      <c r="Q226">
        <v>0</v>
      </c>
      <c r="R226">
        <v>0</v>
      </c>
      <c r="S226">
        <f t="shared" si="114"/>
        <v>0</v>
      </c>
      <c r="T226">
        <f t="shared" si="115"/>
        <v>0</v>
      </c>
      <c r="U226">
        <f t="shared" si="116"/>
        <v>0</v>
      </c>
      <c r="V226">
        <f t="shared" si="117"/>
        <v>0</v>
      </c>
    </row>
    <row r="227" spans="1:22" x14ac:dyDescent="0.25">
      <c r="A227" t="s">
        <v>221</v>
      </c>
      <c r="B227">
        <v>0</v>
      </c>
      <c r="C227">
        <v>1</v>
      </c>
      <c r="D227">
        <f t="shared" si="108"/>
        <v>1</v>
      </c>
      <c r="E227">
        <v>0</v>
      </c>
      <c r="F227">
        <v>1</v>
      </c>
      <c r="G227">
        <f t="shared" si="109"/>
        <v>1</v>
      </c>
      <c r="H227">
        <v>0</v>
      </c>
      <c r="I227">
        <v>1</v>
      </c>
      <c r="J227">
        <f t="shared" si="110"/>
        <v>1</v>
      </c>
      <c r="K227">
        <f t="shared" si="111"/>
        <v>0</v>
      </c>
      <c r="L227">
        <f t="shared" si="112"/>
        <v>2</v>
      </c>
      <c r="M227">
        <f t="shared" si="113"/>
        <v>2</v>
      </c>
      <c r="N227">
        <f>IF(K336&gt;0,ROUND((K227/K336) * 100, 4), "")</f>
        <v>0</v>
      </c>
      <c r="O227">
        <f>IF(L336&gt;0,ROUND((L227/L336) * 100, 4), "")</f>
        <v>2.2100000000000002E-2</v>
      </c>
      <c r="P227">
        <f>IF(M336&gt;0,ROUND((M227/M336) * 100, 4), "")</f>
        <v>5.7000000000000002E-3</v>
      </c>
      <c r="Q227">
        <v>0</v>
      </c>
      <c r="R227">
        <v>3</v>
      </c>
      <c r="S227">
        <f t="shared" si="114"/>
        <v>3</v>
      </c>
      <c r="T227">
        <f t="shared" si="115"/>
        <v>0</v>
      </c>
      <c r="U227">
        <f t="shared" si="116"/>
        <v>0</v>
      </c>
      <c r="V227">
        <f t="shared" si="117"/>
        <v>0</v>
      </c>
    </row>
    <row r="228" spans="1:22" x14ac:dyDescent="0.25">
      <c r="A228" t="s">
        <v>222</v>
      </c>
      <c r="B228">
        <v>0</v>
      </c>
      <c r="C228">
        <v>1</v>
      </c>
      <c r="D228">
        <f t="shared" si="108"/>
        <v>1</v>
      </c>
      <c r="E228">
        <v>0</v>
      </c>
      <c r="F228">
        <v>4</v>
      </c>
      <c r="G228">
        <f t="shared" si="109"/>
        <v>4</v>
      </c>
      <c r="H228">
        <v>0</v>
      </c>
      <c r="I228">
        <v>0</v>
      </c>
      <c r="J228">
        <f t="shared" si="110"/>
        <v>0</v>
      </c>
      <c r="K228">
        <f t="shared" si="111"/>
        <v>0</v>
      </c>
      <c r="L228">
        <f t="shared" si="112"/>
        <v>4</v>
      </c>
      <c r="M228">
        <f t="shared" si="113"/>
        <v>4</v>
      </c>
      <c r="N228">
        <f>IF(K336&gt;0,ROUND((K228/K336) * 100, 4), "")</f>
        <v>0</v>
      </c>
      <c r="O228">
        <f>IF(L336&gt;0,ROUND((L228/L336) * 100, 4), "")</f>
        <v>4.4200000000000003E-2</v>
      </c>
      <c r="P228">
        <f>IF(M336&gt;0,ROUND((M228/M336) * 100, 4), "")</f>
        <v>1.15E-2</v>
      </c>
      <c r="Q228">
        <v>0</v>
      </c>
      <c r="R228">
        <v>4</v>
      </c>
      <c r="S228">
        <f t="shared" si="114"/>
        <v>4</v>
      </c>
      <c r="T228">
        <f t="shared" si="115"/>
        <v>0</v>
      </c>
      <c r="U228">
        <f t="shared" si="116"/>
        <v>1</v>
      </c>
      <c r="V228">
        <f t="shared" si="117"/>
        <v>1</v>
      </c>
    </row>
    <row r="229" spans="1:22" x14ac:dyDescent="0.25">
      <c r="A229" t="s">
        <v>223</v>
      </c>
      <c r="B229">
        <v>0</v>
      </c>
      <c r="C229">
        <v>0</v>
      </c>
      <c r="D229">
        <f t="shared" si="108"/>
        <v>0</v>
      </c>
      <c r="E229">
        <v>0</v>
      </c>
      <c r="F229">
        <v>0</v>
      </c>
      <c r="G229">
        <f t="shared" si="109"/>
        <v>0</v>
      </c>
      <c r="H229">
        <v>0</v>
      </c>
      <c r="I229">
        <v>0</v>
      </c>
      <c r="J229">
        <f t="shared" si="110"/>
        <v>0</v>
      </c>
      <c r="K229">
        <f t="shared" si="111"/>
        <v>0</v>
      </c>
      <c r="L229">
        <f t="shared" si="112"/>
        <v>0</v>
      </c>
      <c r="M229">
        <f t="shared" si="113"/>
        <v>0</v>
      </c>
      <c r="N229">
        <f>IF(K336&gt;0,ROUND((K229/K336) * 100, 4), "")</f>
        <v>0</v>
      </c>
      <c r="O229">
        <f>IF(L336&gt;0,ROUND((L229/L336) * 100, 4), "")</f>
        <v>0</v>
      </c>
      <c r="P229">
        <f>IF(M336&gt;0,ROUND((M229/M336) * 100, 4), "")</f>
        <v>0</v>
      </c>
      <c r="Q229">
        <v>0</v>
      </c>
      <c r="R229">
        <v>0</v>
      </c>
      <c r="S229">
        <f t="shared" si="114"/>
        <v>0</v>
      </c>
      <c r="T229">
        <f t="shared" si="115"/>
        <v>0</v>
      </c>
      <c r="U229">
        <f t="shared" si="116"/>
        <v>0</v>
      </c>
      <c r="V229">
        <f t="shared" si="117"/>
        <v>0</v>
      </c>
    </row>
    <row r="230" spans="1:22" x14ac:dyDescent="0.25">
      <c r="A230" t="s">
        <v>224</v>
      </c>
      <c r="B230">
        <v>0</v>
      </c>
      <c r="C230">
        <v>3</v>
      </c>
      <c r="D230">
        <f t="shared" si="108"/>
        <v>3</v>
      </c>
      <c r="E230">
        <v>0</v>
      </c>
      <c r="F230">
        <v>19</v>
      </c>
      <c r="G230">
        <f t="shared" si="109"/>
        <v>19</v>
      </c>
      <c r="H230">
        <v>0</v>
      </c>
      <c r="I230">
        <v>1</v>
      </c>
      <c r="J230">
        <f t="shared" si="110"/>
        <v>1</v>
      </c>
      <c r="K230">
        <f t="shared" si="111"/>
        <v>0</v>
      </c>
      <c r="L230">
        <f t="shared" si="112"/>
        <v>20</v>
      </c>
      <c r="M230">
        <f t="shared" si="113"/>
        <v>20</v>
      </c>
      <c r="N230">
        <f>IF(K336&gt;0,ROUND((K230/K336) * 100, 4), "")</f>
        <v>0</v>
      </c>
      <c r="O230">
        <f>IF(L336&gt;0,ROUND((L230/L336) * 100, 4), "")</f>
        <v>0.22120000000000001</v>
      </c>
      <c r="P230">
        <f>IF(M336&gt;0,ROUND((M230/M336) * 100, 4), "")</f>
        <v>5.7500000000000002E-2</v>
      </c>
      <c r="Q230">
        <v>0</v>
      </c>
      <c r="R230">
        <v>23</v>
      </c>
      <c r="S230">
        <f t="shared" si="114"/>
        <v>23</v>
      </c>
      <c r="T230">
        <f t="shared" si="115"/>
        <v>0</v>
      </c>
      <c r="U230">
        <f t="shared" si="116"/>
        <v>0</v>
      </c>
      <c r="V230">
        <f t="shared" si="117"/>
        <v>0</v>
      </c>
    </row>
    <row r="231" spans="1:22" x14ac:dyDescent="0.25">
      <c r="A231" t="s">
        <v>225</v>
      </c>
      <c r="B231">
        <v>0</v>
      </c>
      <c r="C231">
        <v>0</v>
      </c>
      <c r="D231">
        <f t="shared" si="108"/>
        <v>0</v>
      </c>
      <c r="E231">
        <v>0</v>
      </c>
      <c r="F231">
        <v>8</v>
      </c>
      <c r="G231">
        <f t="shared" si="109"/>
        <v>8</v>
      </c>
      <c r="H231">
        <v>0</v>
      </c>
      <c r="I231">
        <v>0</v>
      </c>
      <c r="J231">
        <f t="shared" si="110"/>
        <v>0</v>
      </c>
      <c r="K231">
        <f t="shared" si="111"/>
        <v>0</v>
      </c>
      <c r="L231">
        <f t="shared" si="112"/>
        <v>8</v>
      </c>
      <c r="M231">
        <f t="shared" si="113"/>
        <v>8</v>
      </c>
      <c r="N231">
        <f>IF(K336&gt;0,ROUND((K231/K336) * 100, 4), "")</f>
        <v>0</v>
      </c>
      <c r="O231">
        <f>IF(L336&gt;0,ROUND((L231/L336) * 100, 4), "")</f>
        <v>8.8499999999999995E-2</v>
      </c>
      <c r="P231">
        <f>IF(M336&gt;0,ROUND((M231/M336) * 100, 4), "")</f>
        <v>2.3E-2</v>
      </c>
      <c r="Q231">
        <v>0</v>
      </c>
      <c r="R231">
        <v>7</v>
      </c>
      <c r="S231">
        <f t="shared" si="114"/>
        <v>7</v>
      </c>
      <c r="T231">
        <f t="shared" si="115"/>
        <v>0</v>
      </c>
      <c r="U231">
        <f t="shared" si="116"/>
        <v>1</v>
      </c>
      <c r="V231">
        <f t="shared" si="117"/>
        <v>1</v>
      </c>
    </row>
    <row r="232" spans="1:22" x14ac:dyDescent="0.25">
      <c r="A232" t="s">
        <v>226</v>
      </c>
      <c r="B232">
        <v>0</v>
      </c>
      <c r="C232">
        <v>1</v>
      </c>
      <c r="D232">
        <f t="shared" si="108"/>
        <v>1</v>
      </c>
      <c r="E232">
        <v>0</v>
      </c>
      <c r="F232">
        <v>0</v>
      </c>
      <c r="G232">
        <f t="shared" si="109"/>
        <v>0</v>
      </c>
      <c r="H232">
        <v>0</v>
      </c>
      <c r="I232">
        <v>0</v>
      </c>
      <c r="J232">
        <f t="shared" si="110"/>
        <v>0</v>
      </c>
      <c r="K232">
        <f t="shared" si="111"/>
        <v>0</v>
      </c>
      <c r="L232">
        <f t="shared" si="112"/>
        <v>0</v>
      </c>
      <c r="M232">
        <f t="shared" si="113"/>
        <v>0</v>
      </c>
      <c r="N232">
        <f>IF(K336&gt;0,ROUND((K232/K336) * 100, 4), "")</f>
        <v>0</v>
      </c>
      <c r="O232">
        <f>IF(L336&gt;0,ROUND((L232/L336) * 100, 4), "")</f>
        <v>0</v>
      </c>
      <c r="P232">
        <f>IF(M336&gt;0,ROUND((M232/M336) * 100, 4), "")</f>
        <v>0</v>
      </c>
      <c r="Q232">
        <v>0</v>
      </c>
      <c r="R232">
        <v>0</v>
      </c>
      <c r="S232">
        <f t="shared" si="114"/>
        <v>0</v>
      </c>
      <c r="T232">
        <f t="shared" si="115"/>
        <v>0</v>
      </c>
      <c r="U232">
        <f t="shared" si="116"/>
        <v>1</v>
      </c>
      <c r="V232">
        <f t="shared" si="117"/>
        <v>1</v>
      </c>
    </row>
    <row r="233" spans="1:22" x14ac:dyDescent="0.25">
      <c r="A233" t="s">
        <v>227</v>
      </c>
      <c r="B233">
        <v>0</v>
      </c>
      <c r="C233">
        <v>0</v>
      </c>
      <c r="D233">
        <f t="shared" si="108"/>
        <v>0</v>
      </c>
      <c r="E233">
        <v>0</v>
      </c>
      <c r="F233">
        <v>1</v>
      </c>
      <c r="G233">
        <f t="shared" si="109"/>
        <v>1</v>
      </c>
      <c r="H233">
        <v>0</v>
      </c>
      <c r="I233">
        <v>0</v>
      </c>
      <c r="J233">
        <f t="shared" si="110"/>
        <v>0</v>
      </c>
      <c r="K233">
        <f t="shared" si="111"/>
        <v>0</v>
      </c>
      <c r="L233">
        <f t="shared" si="112"/>
        <v>1</v>
      </c>
      <c r="M233">
        <f t="shared" si="113"/>
        <v>1</v>
      </c>
      <c r="N233">
        <f>IF(K336&gt;0,ROUND((K233/K336) * 100, 4), "")</f>
        <v>0</v>
      </c>
      <c r="O233">
        <f>IF(L336&gt;0,ROUND((L233/L336) * 100, 4), "")</f>
        <v>1.11E-2</v>
      </c>
      <c r="P233">
        <f>IF(M336&gt;0,ROUND((M233/M336) * 100, 4), "")</f>
        <v>2.8999999999999998E-3</v>
      </c>
      <c r="Q233">
        <v>0</v>
      </c>
      <c r="R233">
        <v>0</v>
      </c>
      <c r="S233">
        <f t="shared" si="114"/>
        <v>0</v>
      </c>
      <c r="T233">
        <f t="shared" si="115"/>
        <v>0</v>
      </c>
      <c r="U233">
        <f t="shared" si="116"/>
        <v>1</v>
      </c>
      <c r="V233">
        <f t="shared" si="117"/>
        <v>1</v>
      </c>
    </row>
    <row r="234" spans="1:22" x14ac:dyDescent="0.25">
      <c r="A234" t="s">
        <v>228</v>
      </c>
      <c r="B234">
        <v>0</v>
      </c>
      <c r="C234">
        <v>0</v>
      </c>
      <c r="D234">
        <f t="shared" si="108"/>
        <v>0</v>
      </c>
      <c r="E234">
        <v>0</v>
      </c>
      <c r="F234">
        <v>2</v>
      </c>
      <c r="G234">
        <f t="shared" si="109"/>
        <v>2</v>
      </c>
      <c r="H234">
        <v>0</v>
      </c>
      <c r="I234">
        <v>0</v>
      </c>
      <c r="J234">
        <f t="shared" si="110"/>
        <v>0</v>
      </c>
      <c r="K234">
        <f t="shared" si="111"/>
        <v>0</v>
      </c>
      <c r="L234">
        <f t="shared" si="112"/>
        <v>2</v>
      </c>
      <c r="M234">
        <f t="shared" si="113"/>
        <v>2</v>
      </c>
      <c r="N234">
        <f>IF(K336&gt;0,ROUND((K234/K336) * 100, 4), "")</f>
        <v>0</v>
      </c>
      <c r="O234">
        <f>IF(L336&gt;0,ROUND((L234/L336) * 100, 4), "")</f>
        <v>2.2100000000000002E-2</v>
      </c>
      <c r="P234">
        <f>IF(M336&gt;0,ROUND((M234/M336) * 100, 4), "")</f>
        <v>5.7000000000000002E-3</v>
      </c>
      <c r="Q234">
        <v>0</v>
      </c>
      <c r="R234">
        <v>2</v>
      </c>
      <c r="S234">
        <f t="shared" si="114"/>
        <v>2</v>
      </c>
      <c r="T234">
        <f t="shared" si="115"/>
        <v>0</v>
      </c>
      <c r="U234">
        <f t="shared" si="116"/>
        <v>0</v>
      </c>
      <c r="V234">
        <f t="shared" si="117"/>
        <v>0</v>
      </c>
    </row>
    <row r="235" spans="1:22" x14ac:dyDescent="0.25">
      <c r="A235" t="s">
        <v>229</v>
      </c>
      <c r="B235">
        <v>0</v>
      </c>
      <c r="C235">
        <v>0</v>
      </c>
      <c r="D235">
        <f t="shared" si="108"/>
        <v>0</v>
      </c>
      <c r="E235">
        <v>0</v>
      </c>
      <c r="F235">
        <v>0</v>
      </c>
      <c r="G235">
        <f t="shared" si="109"/>
        <v>0</v>
      </c>
      <c r="H235">
        <v>0</v>
      </c>
      <c r="I235">
        <v>0</v>
      </c>
      <c r="J235">
        <f t="shared" si="110"/>
        <v>0</v>
      </c>
      <c r="K235">
        <f t="shared" si="111"/>
        <v>0</v>
      </c>
      <c r="L235">
        <f t="shared" si="112"/>
        <v>0</v>
      </c>
      <c r="M235">
        <f t="shared" si="113"/>
        <v>0</v>
      </c>
      <c r="N235">
        <f>IF(K336&gt;0,ROUND((K235/K336) * 100, 4), "")</f>
        <v>0</v>
      </c>
      <c r="O235">
        <f>IF(L336&gt;0,ROUND((L235/L336) * 100, 4), "")</f>
        <v>0</v>
      </c>
      <c r="P235">
        <f>IF(M336&gt;0,ROUND((M235/M336) * 100, 4), "")</f>
        <v>0</v>
      </c>
      <c r="Q235">
        <v>0</v>
      </c>
      <c r="R235">
        <v>0</v>
      </c>
      <c r="S235">
        <f t="shared" si="114"/>
        <v>0</v>
      </c>
      <c r="T235">
        <f t="shared" si="115"/>
        <v>0</v>
      </c>
      <c r="U235">
        <f t="shared" si="116"/>
        <v>0</v>
      </c>
      <c r="V235">
        <f t="shared" si="117"/>
        <v>0</v>
      </c>
    </row>
    <row r="236" spans="1:22" x14ac:dyDescent="0.25">
      <c r="A236" t="s">
        <v>230</v>
      </c>
      <c r="B236">
        <v>0</v>
      </c>
      <c r="C236">
        <v>0</v>
      </c>
      <c r="D236">
        <f t="shared" si="108"/>
        <v>0</v>
      </c>
      <c r="E236">
        <v>0</v>
      </c>
      <c r="F236">
        <v>0</v>
      </c>
      <c r="G236">
        <f t="shared" si="109"/>
        <v>0</v>
      </c>
      <c r="H236">
        <v>0</v>
      </c>
      <c r="I236">
        <v>0</v>
      </c>
      <c r="J236">
        <f t="shared" si="110"/>
        <v>0</v>
      </c>
      <c r="K236">
        <f t="shared" si="111"/>
        <v>0</v>
      </c>
      <c r="L236">
        <f t="shared" si="112"/>
        <v>0</v>
      </c>
      <c r="M236">
        <f t="shared" si="113"/>
        <v>0</v>
      </c>
      <c r="N236">
        <f>IF(K336&gt;0,ROUND((K236/K336) * 100, 4), "")</f>
        <v>0</v>
      </c>
      <c r="O236">
        <f>IF(L336&gt;0,ROUND((L236/L336) * 100, 4), "")</f>
        <v>0</v>
      </c>
      <c r="P236">
        <f>IF(M336&gt;0,ROUND((M236/M336) * 100, 4), "")</f>
        <v>0</v>
      </c>
      <c r="Q236">
        <v>0</v>
      </c>
      <c r="R236">
        <v>0</v>
      </c>
      <c r="S236">
        <f t="shared" si="114"/>
        <v>0</v>
      </c>
      <c r="T236">
        <f t="shared" si="115"/>
        <v>0</v>
      </c>
      <c r="U236">
        <f t="shared" si="116"/>
        <v>0</v>
      </c>
      <c r="V236">
        <f t="shared" si="117"/>
        <v>0</v>
      </c>
    </row>
    <row r="237" spans="1:22" x14ac:dyDescent="0.25">
      <c r="A237" t="s">
        <v>231</v>
      </c>
      <c r="B237">
        <v>0</v>
      </c>
      <c r="C237">
        <v>3</v>
      </c>
      <c r="D237">
        <f t="shared" si="108"/>
        <v>3</v>
      </c>
      <c r="E237">
        <v>3</v>
      </c>
      <c r="F237">
        <v>16</v>
      </c>
      <c r="G237">
        <f t="shared" si="109"/>
        <v>19</v>
      </c>
      <c r="H237">
        <v>0</v>
      </c>
      <c r="I237">
        <v>0</v>
      </c>
      <c r="J237">
        <f t="shared" si="110"/>
        <v>0</v>
      </c>
      <c r="K237">
        <f t="shared" si="111"/>
        <v>3</v>
      </c>
      <c r="L237">
        <f t="shared" si="112"/>
        <v>16</v>
      </c>
      <c r="M237">
        <f t="shared" si="113"/>
        <v>19</v>
      </c>
      <c r="N237">
        <f>IF(K336&gt;0,ROUND((K237/K336) * 100, 4), "")</f>
        <v>1.1599999999999999E-2</v>
      </c>
      <c r="O237">
        <f>IF(L336&gt;0,ROUND((L237/L336) * 100, 4), "")</f>
        <v>0.17699999999999999</v>
      </c>
      <c r="P237">
        <f>IF(M336&gt;0,ROUND((M237/M336) * 100, 4), "")</f>
        <v>5.4600000000000003E-2</v>
      </c>
      <c r="Q237">
        <v>3</v>
      </c>
      <c r="R237">
        <v>14</v>
      </c>
      <c r="S237">
        <f t="shared" si="114"/>
        <v>17</v>
      </c>
      <c r="T237">
        <f t="shared" si="115"/>
        <v>0</v>
      </c>
      <c r="U237">
        <f t="shared" si="116"/>
        <v>5</v>
      </c>
      <c r="V237">
        <f t="shared" si="117"/>
        <v>5</v>
      </c>
    </row>
    <row r="238" spans="1:22" x14ac:dyDescent="0.25">
      <c r="A238" t="s">
        <v>232</v>
      </c>
      <c r="B238">
        <v>0</v>
      </c>
      <c r="C238">
        <v>13</v>
      </c>
      <c r="D238">
        <f t="shared" si="108"/>
        <v>13</v>
      </c>
      <c r="E238">
        <v>1</v>
      </c>
      <c r="F238">
        <v>18</v>
      </c>
      <c r="G238">
        <f t="shared" si="109"/>
        <v>19</v>
      </c>
      <c r="H238">
        <v>0</v>
      </c>
      <c r="I238">
        <v>2</v>
      </c>
      <c r="J238">
        <f t="shared" si="110"/>
        <v>2</v>
      </c>
      <c r="K238">
        <f t="shared" si="111"/>
        <v>1</v>
      </c>
      <c r="L238">
        <f t="shared" si="112"/>
        <v>20</v>
      </c>
      <c r="M238">
        <f t="shared" si="113"/>
        <v>21</v>
      </c>
      <c r="N238">
        <f>IF(K336&gt;0,ROUND((K238/K336) * 100, 4), "")</f>
        <v>3.8999999999999998E-3</v>
      </c>
      <c r="O238">
        <f>IF(L336&gt;0,ROUND((L238/L336) * 100, 4), "")</f>
        <v>0.22120000000000001</v>
      </c>
      <c r="P238">
        <f>IF(M336&gt;0,ROUND((M238/M336) * 100, 4), "")</f>
        <v>6.0299999999999999E-2</v>
      </c>
      <c r="Q238">
        <v>1</v>
      </c>
      <c r="R238">
        <v>26</v>
      </c>
      <c r="S238">
        <f t="shared" si="114"/>
        <v>27</v>
      </c>
      <c r="T238">
        <f t="shared" si="115"/>
        <v>0</v>
      </c>
      <c r="U238">
        <f t="shared" si="116"/>
        <v>7</v>
      </c>
      <c r="V238">
        <f t="shared" si="117"/>
        <v>7</v>
      </c>
    </row>
    <row r="239" spans="1:22" x14ac:dyDescent="0.25">
      <c r="A239" t="s">
        <v>233</v>
      </c>
      <c r="B239">
        <v>0</v>
      </c>
      <c r="C239">
        <v>0</v>
      </c>
      <c r="D239">
        <f t="shared" si="108"/>
        <v>0</v>
      </c>
      <c r="E239">
        <v>0</v>
      </c>
      <c r="F239">
        <v>1</v>
      </c>
      <c r="G239">
        <f t="shared" si="109"/>
        <v>1</v>
      </c>
      <c r="H239">
        <v>0</v>
      </c>
      <c r="I239">
        <v>0</v>
      </c>
      <c r="J239">
        <f t="shared" si="110"/>
        <v>0</v>
      </c>
      <c r="K239">
        <f t="shared" si="111"/>
        <v>0</v>
      </c>
      <c r="L239">
        <f t="shared" si="112"/>
        <v>1</v>
      </c>
      <c r="M239">
        <f t="shared" si="113"/>
        <v>1</v>
      </c>
      <c r="N239">
        <f>IF(K336&gt;0,ROUND((K239/K336) * 100, 4), "")</f>
        <v>0</v>
      </c>
      <c r="O239">
        <f>IF(L336&gt;0,ROUND((L239/L336) * 100, 4), "")</f>
        <v>1.11E-2</v>
      </c>
      <c r="P239">
        <f>IF(M336&gt;0,ROUND((M239/M336) * 100, 4), "")</f>
        <v>2.8999999999999998E-3</v>
      </c>
      <c r="Q239">
        <v>0</v>
      </c>
      <c r="R239">
        <v>1</v>
      </c>
      <c r="S239">
        <f t="shared" si="114"/>
        <v>1</v>
      </c>
      <c r="T239">
        <f t="shared" si="115"/>
        <v>0</v>
      </c>
      <c r="U239">
        <f t="shared" si="116"/>
        <v>0</v>
      </c>
      <c r="V239">
        <f t="shared" si="117"/>
        <v>0</v>
      </c>
    </row>
    <row r="240" spans="1:22" x14ac:dyDescent="0.25">
      <c r="A240" t="s">
        <v>234</v>
      </c>
      <c r="B240">
        <v>0</v>
      </c>
      <c r="C240">
        <v>0</v>
      </c>
      <c r="D240">
        <f t="shared" si="108"/>
        <v>0</v>
      </c>
      <c r="E240">
        <v>1</v>
      </c>
      <c r="F240">
        <v>4</v>
      </c>
      <c r="G240">
        <f t="shared" si="109"/>
        <v>5</v>
      </c>
      <c r="H240">
        <v>0</v>
      </c>
      <c r="I240">
        <v>0</v>
      </c>
      <c r="J240">
        <f t="shared" si="110"/>
        <v>0</v>
      </c>
      <c r="K240">
        <f t="shared" si="111"/>
        <v>1</v>
      </c>
      <c r="L240">
        <f t="shared" si="112"/>
        <v>4</v>
      </c>
      <c r="M240">
        <f t="shared" si="113"/>
        <v>5</v>
      </c>
      <c r="N240">
        <f>IF(K336&gt;0,ROUND((K240/K336) * 100, 4), "")</f>
        <v>3.8999999999999998E-3</v>
      </c>
      <c r="O240">
        <f>IF(L336&gt;0,ROUND((L240/L336) * 100, 4), "")</f>
        <v>4.4200000000000003E-2</v>
      </c>
      <c r="P240">
        <f>IF(M336&gt;0,ROUND((M240/M336) * 100, 4), "")</f>
        <v>1.44E-2</v>
      </c>
      <c r="Q240">
        <v>1</v>
      </c>
      <c r="R240">
        <v>4</v>
      </c>
      <c r="S240">
        <f t="shared" si="114"/>
        <v>5</v>
      </c>
      <c r="T240">
        <f t="shared" si="115"/>
        <v>0</v>
      </c>
      <c r="U240">
        <f t="shared" si="116"/>
        <v>0</v>
      </c>
      <c r="V240">
        <f t="shared" si="117"/>
        <v>0</v>
      </c>
    </row>
    <row r="241" spans="1:22" x14ac:dyDescent="0.25">
      <c r="A241" t="s">
        <v>235</v>
      </c>
      <c r="B241">
        <v>0</v>
      </c>
      <c r="C241">
        <v>0</v>
      </c>
      <c r="D241">
        <f t="shared" si="108"/>
        <v>0</v>
      </c>
      <c r="E241">
        <v>2</v>
      </c>
      <c r="F241">
        <v>3</v>
      </c>
      <c r="G241">
        <f t="shared" si="109"/>
        <v>5</v>
      </c>
      <c r="H241">
        <v>0</v>
      </c>
      <c r="I241">
        <v>0</v>
      </c>
      <c r="J241">
        <f t="shared" si="110"/>
        <v>0</v>
      </c>
      <c r="K241">
        <f t="shared" si="111"/>
        <v>2</v>
      </c>
      <c r="L241">
        <f t="shared" si="112"/>
        <v>3</v>
      </c>
      <c r="M241">
        <f t="shared" si="113"/>
        <v>5</v>
      </c>
      <c r="N241">
        <f>IF(K336&gt;0,ROUND((K241/K336) * 100, 4), "")</f>
        <v>7.7999999999999996E-3</v>
      </c>
      <c r="O241">
        <f>IF(L336&gt;0,ROUND((L241/L336) * 100, 4), "")</f>
        <v>3.32E-2</v>
      </c>
      <c r="P241">
        <f>IF(M336&gt;0,ROUND((M241/M336) * 100, 4), "")</f>
        <v>1.44E-2</v>
      </c>
      <c r="Q241">
        <v>2</v>
      </c>
      <c r="R241">
        <v>3</v>
      </c>
      <c r="S241">
        <f t="shared" si="114"/>
        <v>5</v>
      </c>
      <c r="T241">
        <f t="shared" si="115"/>
        <v>0</v>
      </c>
      <c r="U241">
        <f t="shared" si="116"/>
        <v>0</v>
      </c>
      <c r="V241">
        <f t="shared" si="117"/>
        <v>0</v>
      </c>
    </row>
    <row r="242" spans="1:22" x14ac:dyDescent="0.25">
      <c r="A242" t="s">
        <v>236</v>
      </c>
      <c r="B242">
        <v>0</v>
      </c>
      <c r="C242">
        <v>0</v>
      </c>
      <c r="D242">
        <f t="shared" si="108"/>
        <v>0</v>
      </c>
      <c r="E242">
        <v>0</v>
      </c>
      <c r="F242">
        <v>0</v>
      </c>
      <c r="G242">
        <f t="shared" si="109"/>
        <v>0</v>
      </c>
      <c r="H242">
        <v>0</v>
      </c>
      <c r="I242">
        <v>0</v>
      </c>
      <c r="J242">
        <f t="shared" si="110"/>
        <v>0</v>
      </c>
      <c r="K242">
        <f t="shared" si="111"/>
        <v>0</v>
      </c>
      <c r="L242">
        <f t="shared" si="112"/>
        <v>0</v>
      </c>
      <c r="M242">
        <f t="shared" si="113"/>
        <v>0</v>
      </c>
      <c r="N242">
        <f>IF(K336&gt;0,ROUND((K242/K336) * 100, 4), "")</f>
        <v>0</v>
      </c>
      <c r="O242">
        <f>IF(L336&gt;0,ROUND((L242/L336) * 100, 4), "")</f>
        <v>0</v>
      </c>
      <c r="P242">
        <f>IF(M336&gt;0,ROUND((M242/M336) * 100, 4), "")</f>
        <v>0</v>
      </c>
      <c r="Q242">
        <v>0</v>
      </c>
      <c r="R242">
        <v>0</v>
      </c>
      <c r="S242">
        <f t="shared" si="114"/>
        <v>0</v>
      </c>
      <c r="T242">
        <f t="shared" si="115"/>
        <v>0</v>
      </c>
      <c r="U242">
        <f t="shared" si="116"/>
        <v>0</v>
      </c>
      <c r="V242">
        <f t="shared" si="117"/>
        <v>0</v>
      </c>
    </row>
    <row r="243" spans="1:22" x14ac:dyDescent="0.25">
      <c r="A243" t="s">
        <v>237</v>
      </c>
      <c r="B243">
        <v>0</v>
      </c>
      <c r="C243">
        <v>0</v>
      </c>
      <c r="D243">
        <f t="shared" si="108"/>
        <v>0</v>
      </c>
      <c r="E243">
        <v>0</v>
      </c>
      <c r="F243">
        <v>1</v>
      </c>
      <c r="G243">
        <f t="shared" si="109"/>
        <v>1</v>
      </c>
      <c r="H243">
        <v>0</v>
      </c>
      <c r="I243">
        <v>0</v>
      </c>
      <c r="J243">
        <f t="shared" si="110"/>
        <v>0</v>
      </c>
      <c r="K243">
        <f t="shared" si="111"/>
        <v>0</v>
      </c>
      <c r="L243">
        <f t="shared" si="112"/>
        <v>1</v>
      </c>
      <c r="M243">
        <f t="shared" si="113"/>
        <v>1</v>
      </c>
      <c r="N243">
        <f>IF(K336&gt;0,ROUND((K243/K336) * 100, 4), "")</f>
        <v>0</v>
      </c>
      <c r="O243">
        <f>IF(L336&gt;0,ROUND((L243/L336) * 100, 4), "")</f>
        <v>1.11E-2</v>
      </c>
      <c r="P243">
        <f>IF(M336&gt;0,ROUND((M243/M336) * 100, 4), "")</f>
        <v>2.8999999999999998E-3</v>
      </c>
      <c r="Q243">
        <v>0</v>
      </c>
      <c r="R243">
        <v>1</v>
      </c>
      <c r="S243">
        <f t="shared" si="114"/>
        <v>1</v>
      </c>
      <c r="T243">
        <f t="shared" si="115"/>
        <v>0</v>
      </c>
      <c r="U243">
        <f t="shared" si="116"/>
        <v>0</v>
      </c>
      <c r="V243">
        <f t="shared" si="117"/>
        <v>0</v>
      </c>
    </row>
    <row r="244" spans="1:22" x14ac:dyDescent="0.25">
      <c r="A244" t="s">
        <v>238</v>
      </c>
      <c r="B244">
        <v>0</v>
      </c>
      <c r="C244">
        <v>0</v>
      </c>
      <c r="D244">
        <f t="shared" si="108"/>
        <v>0</v>
      </c>
      <c r="E244">
        <v>0</v>
      </c>
      <c r="F244">
        <v>1</v>
      </c>
      <c r="G244">
        <f t="shared" si="109"/>
        <v>1</v>
      </c>
      <c r="H244">
        <v>0</v>
      </c>
      <c r="I244">
        <v>1</v>
      </c>
      <c r="J244">
        <f t="shared" si="110"/>
        <v>1</v>
      </c>
      <c r="K244">
        <f t="shared" si="111"/>
        <v>0</v>
      </c>
      <c r="L244">
        <f t="shared" si="112"/>
        <v>2</v>
      </c>
      <c r="M244">
        <f t="shared" si="113"/>
        <v>2</v>
      </c>
      <c r="N244">
        <f>IF(K336&gt;0,ROUND((K244/K336) * 100, 4), "")</f>
        <v>0</v>
      </c>
      <c r="O244">
        <f>IF(L336&gt;0,ROUND((L244/L336) * 100, 4), "")</f>
        <v>2.2100000000000002E-2</v>
      </c>
      <c r="P244">
        <f>IF(M336&gt;0,ROUND((M244/M336) * 100, 4), "")</f>
        <v>5.7000000000000002E-3</v>
      </c>
      <c r="Q244">
        <v>0</v>
      </c>
      <c r="R244">
        <v>1</v>
      </c>
      <c r="S244">
        <f t="shared" si="114"/>
        <v>1</v>
      </c>
      <c r="T244">
        <f t="shared" si="115"/>
        <v>0</v>
      </c>
      <c r="U244">
        <f t="shared" si="116"/>
        <v>1</v>
      </c>
      <c r="V244">
        <f t="shared" si="117"/>
        <v>1</v>
      </c>
    </row>
    <row r="245" spans="1:22" x14ac:dyDescent="0.25">
      <c r="A245" t="s">
        <v>239</v>
      </c>
      <c r="B245">
        <v>0</v>
      </c>
      <c r="C245">
        <v>3</v>
      </c>
      <c r="D245">
        <f t="shared" si="108"/>
        <v>3</v>
      </c>
      <c r="E245">
        <v>0</v>
      </c>
      <c r="F245">
        <v>33</v>
      </c>
      <c r="G245">
        <f t="shared" si="109"/>
        <v>33</v>
      </c>
      <c r="H245">
        <v>0</v>
      </c>
      <c r="I245">
        <v>2</v>
      </c>
      <c r="J245">
        <f t="shared" si="110"/>
        <v>2</v>
      </c>
      <c r="K245">
        <f t="shared" si="111"/>
        <v>0</v>
      </c>
      <c r="L245">
        <f t="shared" si="112"/>
        <v>35</v>
      </c>
      <c r="M245">
        <f t="shared" si="113"/>
        <v>35</v>
      </c>
      <c r="N245">
        <f>IF(K336&gt;0,ROUND((K245/K336) * 100, 4), "")</f>
        <v>0</v>
      </c>
      <c r="O245">
        <f>IF(L336&gt;0,ROUND((L245/L336) * 100, 4), "")</f>
        <v>0.3871</v>
      </c>
      <c r="P245">
        <f>IF(M336&gt;0,ROUND((M245/M336) * 100, 4), "")</f>
        <v>0.10050000000000001</v>
      </c>
      <c r="Q245">
        <v>0</v>
      </c>
      <c r="R245">
        <v>31</v>
      </c>
      <c r="S245">
        <f t="shared" si="114"/>
        <v>31</v>
      </c>
      <c r="T245">
        <f t="shared" si="115"/>
        <v>0</v>
      </c>
      <c r="U245">
        <f t="shared" si="116"/>
        <v>7</v>
      </c>
      <c r="V245">
        <f t="shared" si="117"/>
        <v>7</v>
      </c>
    </row>
    <row r="246" spans="1:22" x14ac:dyDescent="0.25">
      <c r="A246" t="s">
        <v>240</v>
      </c>
      <c r="B246">
        <v>0</v>
      </c>
      <c r="C246">
        <v>1</v>
      </c>
      <c r="D246">
        <f t="shared" si="108"/>
        <v>1</v>
      </c>
      <c r="E246">
        <v>0</v>
      </c>
      <c r="F246">
        <v>0</v>
      </c>
      <c r="G246">
        <f t="shared" si="109"/>
        <v>0</v>
      </c>
      <c r="H246">
        <v>0</v>
      </c>
      <c r="I246">
        <v>0</v>
      </c>
      <c r="J246">
        <f t="shared" si="110"/>
        <v>0</v>
      </c>
      <c r="K246">
        <f t="shared" si="111"/>
        <v>0</v>
      </c>
      <c r="L246">
        <f t="shared" si="112"/>
        <v>0</v>
      </c>
      <c r="M246">
        <f t="shared" si="113"/>
        <v>0</v>
      </c>
      <c r="N246">
        <f>IF(K336&gt;0,ROUND((K246/K336) * 100, 4), "")</f>
        <v>0</v>
      </c>
      <c r="O246">
        <f>IF(L336&gt;0,ROUND((L246/L336) * 100, 4), "")</f>
        <v>0</v>
      </c>
      <c r="P246">
        <f>IF(M336&gt;0,ROUND((M246/M336) * 100, 4), "")</f>
        <v>0</v>
      </c>
      <c r="Q246">
        <v>0</v>
      </c>
      <c r="R246">
        <v>1</v>
      </c>
      <c r="S246">
        <f t="shared" si="114"/>
        <v>1</v>
      </c>
      <c r="T246">
        <f t="shared" si="115"/>
        <v>0</v>
      </c>
      <c r="U246">
        <f t="shared" si="116"/>
        <v>0</v>
      </c>
      <c r="V246">
        <f t="shared" si="117"/>
        <v>0</v>
      </c>
    </row>
    <row r="247" spans="1:22" x14ac:dyDescent="0.25">
      <c r="A247" t="s">
        <v>241</v>
      </c>
      <c r="B247">
        <v>0</v>
      </c>
      <c r="C247">
        <v>2</v>
      </c>
      <c r="D247">
        <f t="shared" si="108"/>
        <v>2</v>
      </c>
      <c r="E247">
        <v>107</v>
      </c>
      <c r="F247">
        <v>124</v>
      </c>
      <c r="G247">
        <f t="shared" si="109"/>
        <v>231</v>
      </c>
      <c r="H247">
        <v>0</v>
      </c>
      <c r="I247">
        <v>0</v>
      </c>
      <c r="J247">
        <f t="shared" si="110"/>
        <v>0</v>
      </c>
      <c r="K247">
        <f t="shared" si="111"/>
        <v>107</v>
      </c>
      <c r="L247">
        <f t="shared" si="112"/>
        <v>124</v>
      </c>
      <c r="M247">
        <f t="shared" si="113"/>
        <v>231</v>
      </c>
      <c r="N247">
        <f>IF(K336&gt;0,ROUND((K247/K336) * 100, 4), "")</f>
        <v>0.41520000000000001</v>
      </c>
      <c r="O247">
        <f>IF(L336&gt;0,ROUND((L247/L336) * 100, 4), "")</f>
        <v>1.3714</v>
      </c>
      <c r="P247">
        <f>IF(M336&gt;0,ROUND((M247/M336) * 100, 4), "")</f>
        <v>0.66359999999999997</v>
      </c>
      <c r="Q247">
        <v>102</v>
      </c>
      <c r="R247">
        <v>112</v>
      </c>
      <c r="S247">
        <f t="shared" si="114"/>
        <v>214</v>
      </c>
      <c r="T247">
        <f t="shared" si="115"/>
        <v>5</v>
      </c>
      <c r="U247">
        <f t="shared" si="116"/>
        <v>14</v>
      </c>
      <c r="V247">
        <f t="shared" si="117"/>
        <v>19</v>
      </c>
    </row>
    <row r="248" spans="1:22" x14ac:dyDescent="0.25">
      <c r="A248" t="s">
        <v>242</v>
      </c>
      <c r="B248">
        <v>0</v>
      </c>
      <c r="C248">
        <v>0</v>
      </c>
      <c r="D248">
        <f t="shared" si="108"/>
        <v>0</v>
      </c>
      <c r="E248">
        <v>0</v>
      </c>
      <c r="F248">
        <v>0</v>
      </c>
      <c r="G248">
        <f t="shared" si="109"/>
        <v>0</v>
      </c>
      <c r="H248">
        <v>0</v>
      </c>
      <c r="I248">
        <v>0</v>
      </c>
      <c r="J248">
        <f t="shared" si="110"/>
        <v>0</v>
      </c>
      <c r="K248">
        <f t="shared" si="111"/>
        <v>0</v>
      </c>
      <c r="L248">
        <f t="shared" si="112"/>
        <v>0</v>
      </c>
      <c r="M248">
        <f t="shared" si="113"/>
        <v>0</v>
      </c>
      <c r="N248">
        <f>IF(K336&gt;0,ROUND((K248/K336) * 100, 4), "")</f>
        <v>0</v>
      </c>
      <c r="O248">
        <f>IF(L336&gt;0,ROUND((L248/L336) * 100, 4), "")</f>
        <v>0</v>
      </c>
      <c r="P248">
        <f>IF(M336&gt;0,ROUND((M248/M336) * 100, 4), "")</f>
        <v>0</v>
      </c>
      <c r="Q248">
        <v>0</v>
      </c>
      <c r="R248">
        <v>0</v>
      </c>
      <c r="S248">
        <f t="shared" si="114"/>
        <v>0</v>
      </c>
      <c r="T248">
        <f t="shared" si="115"/>
        <v>0</v>
      </c>
      <c r="U248">
        <f t="shared" si="116"/>
        <v>0</v>
      </c>
      <c r="V248">
        <f t="shared" si="117"/>
        <v>0</v>
      </c>
    </row>
    <row r="249" spans="1:22" x14ac:dyDescent="0.25">
      <c r="A249" t="s">
        <v>243</v>
      </c>
      <c r="B249">
        <v>0</v>
      </c>
      <c r="C249">
        <v>2</v>
      </c>
      <c r="D249">
        <f t="shared" si="108"/>
        <v>2</v>
      </c>
      <c r="E249">
        <v>1</v>
      </c>
      <c r="F249">
        <v>7</v>
      </c>
      <c r="G249">
        <f t="shared" si="109"/>
        <v>8</v>
      </c>
      <c r="H249">
        <v>0</v>
      </c>
      <c r="I249">
        <v>0</v>
      </c>
      <c r="J249">
        <f t="shared" si="110"/>
        <v>0</v>
      </c>
      <c r="K249">
        <f t="shared" si="111"/>
        <v>1</v>
      </c>
      <c r="L249">
        <f t="shared" si="112"/>
        <v>7</v>
      </c>
      <c r="M249">
        <f t="shared" si="113"/>
        <v>8</v>
      </c>
      <c r="N249">
        <f>IF(K336&gt;0,ROUND((K249/K336) * 100, 4), "")</f>
        <v>3.8999999999999998E-3</v>
      </c>
      <c r="O249">
        <f>IF(L336&gt;0,ROUND((L249/L336) * 100, 4), "")</f>
        <v>7.7399999999999997E-2</v>
      </c>
      <c r="P249">
        <f>IF(M336&gt;0,ROUND((M249/M336) * 100, 4), "")</f>
        <v>2.3E-2</v>
      </c>
      <c r="Q249">
        <v>1</v>
      </c>
      <c r="R249">
        <v>7</v>
      </c>
      <c r="S249">
        <f t="shared" si="114"/>
        <v>8</v>
      </c>
      <c r="T249">
        <f t="shared" si="115"/>
        <v>0</v>
      </c>
      <c r="U249">
        <f t="shared" si="116"/>
        <v>2</v>
      </c>
      <c r="V249">
        <f t="shared" si="117"/>
        <v>2</v>
      </c>
    </row>
    <row r="250" spans="1:22" x14ac:dyDescent="0.25">
      <c r="A250" t="s">
        <v>244</v>
      </c>
      <c r="B250">
        <v>0</v>
      </c>
      <c r="C250">
        <v>0</v>
      </c>
      <c r="D250">
        <f t="shared" si="108"/>
        <v>0</v>
      </c>
      <c r="E250">
        <v>0</v>
      </c>
      <c r="F250">
        <v>16</v>
      </c>
      <c r="G250">
        <f t="shared" si="109"/>
        <v>16</v>
      </c>
      <c r="H250">
        <v>0</v>
      </c>
      <c r="I250">
        <v>0</v>
      </c>
      <c r="J250">
        <f t="shared" si="110"/>
        <v>0</v>
      </c>
      <c r="K250">
        <f t="shared" si="111"/>
        <v>0</v>
      </c>
      <c r="L250">
        <f t="shared" si="112"/>
        <v>16</v>
      </c>
      <c r="M250">
        <f t="shared" si="113"/>
        <v>16</v>
      </c>
      <c r="N250">
        <f>IF(K336&gt;0,ROUND((K250/K336) * 100, 4), "")</f>
        <v>0</v>
      </c>
      <c r="O250">
        <f>IF(L336&gt;0,ROUND((L250/L336) * 100, 4), "")</f>
        <v>0.17699999999999999</v>
      </c>
      <c r="P250">
        <f>IF(M336&gt;0,ROUND((M250/M336) * 100, 4), "")</f>
        <v>4.5999999999999999E-2</v>
      </c>
      <c r="Q250">
        <v>0</v>
      </c>
      <c r="R250">
        <v>13</v>
      </c>
      <c r="S250">
        <f t="shared" si="114"/>
        <v>13</v>
      </c>
      <c r="T250">
        <f t="shared" si="115"/>
        <v>0</v>
      </c>
      <c r="U250">
        <f t="shared" si="116"/>
        <v>3</v>
      </c>
      <c r="V250">
        <f t="shared" si="117"/>
        <v>3</v>
      </c>
    </row>
    <row r="251" spans="1:22" x14ac:dyDescent="0.25">
      <c r="A251" t="s">
        <v>245</v>
      </c>
      <c r="B251">
        <v>2</v>
      </c>
      <c r="C251">
        <v>1</v>
      </c>
      <c r="D251">
        <f t="shared" si="108"/>
        <v>3</v>
      </c>
      <c r="E251">
        <v>8</v>
      </c>
      <c r="F251">
        <v>4</v>
      </c>
      <c r="G251">
        <f t="shared" si="109"/>
        <v>12</v>
      </c>
      <c r="H251">
        <v>0</v>
      </c>
      <c r="I251">
        <v>0</v>
      </c>
      <c r="J251">
        <f t="shared" si="110"/>
        <v>0</v>
      </c>
      <c r="K251">
        <f t="shared" si="111"/>
        <v>8</v>
      </c>
      <c r="L251">
        <f t="shared" si="112"/>
        <v>4</v>
      </c>
      <c r="M251">
        <f t="shared" si="113"/>
        <v>12</v>
      </c>
      <c r="N251">
        <f>IF(K336&gt;0,ROUND((K251/K336) * 100, 4), "")</f>
        <v>3.1E-2</v>
      </c>
      <c r="O251">
        <f>IF(L336&gt;0,ROUND((L251/L336) * 100, 4), "")</f>
        <v>4.4200000000000003E-2</v>
      </c>
      <c r="P251">
        <f>IF(M336&gt;0,ROUND((M251/M336) * 100, 4), "")</f>
        <v>3.4500000000000003E-2</v>
      </c>
      <c r="Q251">
        <v>10</v>
      </c>
      <c r="R251">
        <v>5</v>
      </c>
      <c r="S251">
        <f t="shared" si="114"/>
        <v>15</v>
      </c>
      <c r="T251">
        <f t="shared" si="115"/>
        <v>0</v>
      </c>
      <c r="U251">
        <f t="shared" si="116"/>
        <v>0</v>
      </c>
      <c r="V251">
        <f t="shared" si="117"/>
        <v>0</v>
      </c>
    </row>
    <row r="253" spans="1:22" x14ac:dyDescent="0.25">
      <c r="A253" s="8" t="s">
        <v>246</v>
      </c>
      <c r="B253" s="8" t="s">
        <v>246</v>
      </c>
      <c r="C253" s="8" t="s">
        <v>246</v>
      </c>
      <c r="D253" s="8" t="s">
        <v>246</v>
      </c>
      <c r="E253" s="8" t="s">
        <v>246</v>
      </c>
      <c r="F253" s="8" t="s">
        <v>246</v>
      </c>
      <c r="G253" s="8" t="s">
        <v>246</v>
      </c>
      <c r="H253" s="8" t="s">
        <v>246</v>
      </c>
      <c r="I253" s="8" t="s">
        <v>246</v>
      </c>
      <c r="J253" s="8" t="s">
        <v>246</v>
      </c>
      <c r="K253" s="8" t="s">
        <v>246</v>
      </c>
      <c r="L253" s="8" t="s">
        <v>246</v>
      </c>
      <c r="M253" s="8" t="s">
        <v>246</v>
      </c>
      <c r="N253" s="8" t="s">
        <v>246</v>
      </c>
      <c r="O253" s="8" t="s">
        <v>246</v>
      </c>
      <c r="P253" s="8" t="s">
        <v>246</v>
      </c>
      <c r="Q253" s="8" t="s">
        <v>246</v>
      </c>
      <c r="R253" s="8" t="s">
        <v>246</v>
      </c>
      <c r="S253" s="8" t="s">
        <v>246</v>
      </c>
      <c r="T253" s="8" t="s">
        <v>246</v>
      </c>
      <c r="U253" s="8" t="s">
        <v>246</v>
      </c>
      <c r="V253" s="8" t="s">
        <v>246</v>
      </c>
    </row>
    <row r="254" spans="1:22" x14ac:dyDescent="0.25">
      <c r="A254" t="s">
        <v>247</v>
      </c>
      <c r="B254">
        <v>1</v>
      </c>
      <c r="C254">
        <v>0</v>
      </c>
      <c r="D254">
        <f t="shared" ref="D254:D279" si="118">B254+C254</f>
        <v>1</v>
      </c>
      <c r="E254">
        <v>1</v>
      </c>
      <c r="F254">
        <v>1</v>
      </c>
      <c r="G254">
        <f t="shared" ref="G254:G279" si="119">E254+F254</f>
        <v>2</v>
      </c>
      <c r="H254">
        <v>1</v>
      </c>
      <c r="I254">
        <v>0</v>
      </c>
      <c r="J254">
        <f t="shared" ref="J254:J279" si="120">H254+I254</f>
        <v>1</v>
      </c>
      <c r="K254">
        <f t="shared" ref="K254:K279" si="121">E254 + H254</f>
        <v>2</v>
      </c>
      <c r="L254">
        <f t="shared" ref="L254:L279" si="122">F254 + I254</f>
        <v>1</v>
      </c>
      <c r="M254">
        <f t="shared" ref="M254:M279" si="123">K254 + L254</f>
        <v>3</v>
      </c>
      <c r="N254">
        <f>IF(K336&gt;0,ROUND((K254/K336) * 100, 4), "")</f>
        <v>7.7999999999999996E-3</v>
      </c>
      <c r="O254">
        <f>IF(L336&gt;0,ROUND((L254/L336) * 100, 4), "")</f>
        <v>1.11E-2</v>
      </c>
      <c r="P254">
        <f>IF(M336&gt;0,ROUND((M254/M336) * 100, 4), "")</f>
        <v>8.6E-3</v>
      </c>
      <c r="Q254">
        <v>3</v>
      </c>
      <c r="R254">
        <v>1</v>
      </c>
      <c r="S254">
        <f t="shared" ref="S254:S279" si="124">Q254 + R254</f>
        <v>4</v>
      </c>
      <c r="T254">
        <f t="shared" ref="T254:T279" si="125">B254 + K254 - Q254</f>
        <v>0</v>
      </c>
      <c r="U254">
        <f t="shared" ref="U254:U279" si="126">C254 + L254 - R254</f>
        <v>0</v>
      </c>
      <c r="V254">
        <f t="shared" ref="V254:V279" si="127">T254 + U254</f>
        <v>0</v>
      </c>
    </row>
    <row r="255" spans="1:22" x14ac:dyDescent="0.25">
      <c r="A255" t="s">
        <v>248</v>
      </c>
      <c r="B255">
        <v>0</v>
      </c>
      <c r="C255">
        <v>0</v>
      </c>
      <c r="D255">
        <f t="shared" si="118"/>
        <v>0</v>
      </c>
      <c r="E255">
        <v>0</v>
      </c>
      <c r="F255">
        <v>0</v>
      </c>
      <c r="G255">
        <f t="shared" si="119"/>
        <v>0</v>
      </c>
      <c r="H255">
        <v>0</v>
      </c>
      <c r="I255">
        <v>0</v>
      </c>
      <c r="J255">
        <f t="shared" si="120"/>
        <v>0</v>
      </c>
      <c r="K255">
        <f t="shared" si="121"/>
        <v>0</v>
      </c>
      <c r="L255">
        <f t="shared" si="122"/>
        <v>0</v>
      </c>
      <c r="M255">
        <f t="shared" si="123"/>
        <v>0</v>
      </c>
      <c r="N255">
        <f>IF(K336&gt;0,ROUND((K255/K336) * 100, 4), "")</f>
        <v>0</v>
      </c>
      <c r="O255">
        <f>IF(L336&gt;0,ROUND((L255/L336) * 100, 4), "")</f>
        <v>0</v>
      </c>
      <c r="P255">
        <f>IF(M336&gt;0,ROUND((M255/M336) * 100, 4), "")</f>
        <v>0</v>
      </c>
      <c r="Q255">
        <v>0</v>
      </c>
      <c r="R255">
        <v>0</v>
      </c>
      <c r="S255">
        <f t="shared" si="124"/>
        <v>0</v>
      </c>
      <c r="T255">
        <f t="shared" si="125"/>
        <v>0</v>
      </c>
      <c r="U255">
        <f t="shared" si="126"/>
        <v>0</v>
      </c>
      <c r="V255">
        <f t="shared" si="127"/>
        <v>0</v>
      </c>
    </row>
    <row r="256" spans="1:22" x14ac:dyDescent="0.25">
      <c r="A256" t="s">
        <v>249</v>
      </c>
      <c r="B256">
        <v>0</v>
      </c>
      <c r="C256">
        <v>0</v>
      </c>
      <c r="D256">
        <f t="shared" si="118"/>
        <v>0</v>
      </c>
      <c r="E256">
        <v>1</v>
      </c>
      <c r="F256">
        <v>0</v>
      </c>
      <c r="G256">
        <f t="shared" si="119"/>
        <v>1</v>
      </c>
      <c r="H256">
        <v>0</v>
      </c>
      <c r="I256">
        <v>0</v>
      </c>
      <c r="J256">
        <f t="shared" si="120"/>
        <v>0</v>
      </c>
      <c r="K256">
        <f t="shared" si="121"/>
        <v>1</v>
      </c>
      <c r="L256">
        <f t="shared" si="122"/>
        <v>0</v>
      </c>
      <c r="M256">
        <f t="shared" si="123"/>
        <v>1</v>
      </c>
      <c r="N256">
        <f>IF(K336&gt;0,ROUND((K256/K336) * 100, 4), "")</f>
        <v>3.8999999999999998E-3</v>
      </c>
      <c r="O256">
        <f>IF(L336&gt;0,ROUND((L256/L336) * 100, 4), "")</f>
        <v>0</v>
      </c>
      <c r="P256">
        <f>IF(M336&gt;0,ROUND((M256/M336) * 100, 4), "")</f>
        <v>2.8999999999999998E-3</v>
      </c>
      <c r="Q256">
        <v>1</v>
      </c>
      <c r="R256">
        <v>0</v>
      </c>
      <c r="S256">
        <f t="shared" si="124"/>
        <v>1</v>
      </c>
      <c r="T256">
        <f t="shared" si="125"/>
        <v>0</v>
      </c>
      <c r="U256">
        <f t="shared" si="126"/>
        <v>0</v>
      </c>
      <c r="V256">
        <f t="shared" si="127"/>
        <v>0</v>
      </c>
    </row>
    <row r="257" spans="1:22" x14ac:dyDescent="0.25">
      <c r="A257" t="s">
        <v>250</v>
      </c>
      <c r="B257">
        <v>0</v>
      </c>
      <c r="C257">
        <v>1</v>
      </c>
      <c r="D257">
        <f t="shared" si="118"/>
        <v>1</v>
      </c>
      <c r="E257">
        <v>0</v>
      </c>
      <c r="F257">
        <v>2</v>
      </c>
      <c r="G257">
        <f t="shared" si="119"/>
        <v>2</v>
      </c>
      <c r="H257">
        <v>0</v>
      </c>
      <c r="I257">
        <v>0</v>
      </c>
      <c r="J257">
        <f t="shared" si="120"/>
        <v>0</v>
      </c>
      <c r="K257">
        <f t="shared" si="121"/>
        <v>0</v>
      </c>
      <c r="L257">
        <f t="shared" si="122"/>
        <v>2</v>
      </c>
      <c r="M257">
        <f t="shared" si="123"/>
        <v>2</v>
      </c>
      <c r="N257">
        <f>IF(K336&gt;0,ROUND((K257/K336) * 100, 4), "")</f>
        <v>0</v>
      </c>
      <c r="O257">
        <f>IF(L336&gt;0,ROUND((L257/L336) * 100, 4), "")</f>
        <v>2.2100000000000002E-2</v>
      </c>
      <c r="P257">
        <f>IF(M336&gt;0,ROUND((M257/M336) * 100, 4), "")</f>
        <v>5.7000000000000002E-3</v>
      </c>
      <c r="Q257">
        <v>0</v>
      </c>
      <c r="R257">
        <v>3</v>
      </c>
      <c r="S257">
        <f t="shared" si="124"/>
        <v>3</v>
      </c>
      <c r="T257">
        <f t="shared" si="125"/>
        <v>0</v>
      </c>
      <c r="U257">
        <f t="shared" si="126"/>
        <v>0</v>
      </c>
      <c r="V257">
        <f t="shared" si="127"/>
        <v>0</v>
      </c>
    </row>
    <row r="258" spans="1:22" x14ac:dyDescent="0.25">
      <c r="A258" t="s">
        <v>251</v>
      </c>
      <c r="B258">
        <v>1</v>
      </c>
      <c r="C258">
        <v>0</v>
      </c>
      <c r="D258">
        <f t="shared" si="118"/>
        <v>1</v>
      </c>
      <c r="E258">
        <v>3</v>
      </c>
      <c r="F258">
        <v>6</v>
      </c>
      <c r="G258">
        <f t="shared" si="119"/>
        <v>9</v>
      </c>
      <c r="H258">
        <v>0</v>
      </c>
      <c r="I258">
        <v>0</v>
      </c>
      <c r="J258">
        <f t="shared" si="120"/>
        <v>0</v>
      </c>
      <c r="K258">
        <f t="shared" si="121"/>
        <v>3</v>
      </c>
      <c r="L258">
        <f t="shared" si="122"/>
        <v>6</v>
      </c>
      <c r="M258">
        <f t="shared" si="123"/>
        <v>9</v>
      </c>
      <c r="N258">
        <f>IF(K336&gt;0,ROUND((K258/K336) * 100, 4), "")</f>
        <v>1.1599999999999999E-2</v>
      </c>
      <c r="O258">
        <f>IF(L336&gt;0,ROUND((L258/L336) * 100, 4), "")</f>
        <v>6.6400000000000001E-2</v>
      </c>
      <c r="P258">
        <f>IF(M336&gt;0,ROUND((M258/M336) * 100, 4), "")</f>
        <v>2.5899999999999999E-2</v>
      </c>
      <c r="Q258">
        <v>3</v>
      </c>
      <c r="R258">
        <v>5</v>
      </c>
      <c r="S258">
        <f t="shared" si="124"/>
        <v>8</v>
      </c>
      <c r="T258">
        <f t="shared" si="125"/>
        <v>1</v>
      </c>
      <c r="U258">
        <f t="shared" si="126"/>
        <v>1</v>
      </c>
      <c r="V258">
        <f t="shared" si="127"/>
        <v>2</v>
      </c>
    </row>
    <row r="259" spans="1:22" x14ac:dyDescent="0.25">
      <c r="A259" t="s">
        <v>252</v>
      </c>
      <c r="B259">
        <v>0</v>
      </c>
      <c r="C259">
        <v>1</v>
      </c>
      <c r="D259">
        <f t="shared" si="118"/>
        <v>1</v>
      </c>
      <c r="E259">
        <v>0</v>
      </c>
      <c r="F259">
        <v>53</v>
      </c>
      <c r="G259">
        <f t="shared" si="119"/>
        <v>53</v>
      </c>
      <c r="H259">
        <v>0</v>
      </c>
      <c r="I259">
        <v>9</v>
      </c>
      <c r="J259">
        <f t="shared" si="120"/>
        <v>9</v>
      </c>
      <c r="K259">
        <f t="shared" si="121"/>
        <v>0</v>
      </c>
      <c r="L259">
        <f t="shared" si="122"/>
        <v>62</v>
      </c>
      <c r="M259">
        <f t="shared" si="123"/>
        <v>62</v>
      </c>
      <c r="N259">
        <f>IF(K336&gt;0,ROUND((K259/K336) * 100, 4), "")</f>
        <v>0</v>
      </c>
      <c r="O259">
        <f>IF(L336&gt;0,ROUND((L259/L336) * 100, 4), "")</f>
        <v>0.68569999999999998</v>
      </c>
      <c r="P259">
        <f>IF(M336&gt;0,ROUND((M259/M336) * 100, 4), "")</f>
        <v>0.17810000000000001</v>
      </c>
      <c r="Q259">
        <v>0</v>
      </c>
      <c r="R259">
        <v>54</v>
      </c>
      <c r="S259">
        <f t="shared" si="124"/>
        <v>54</v>
      </c>
      <c r="T259">
        <f t="shared" si="125"/>
        <v>0</v>
      </c>
      <c r="U259">
        <f t="shared" si="126"/>
        <v>9</v>
      </c>
      <c r="V259">
        <f t="shared" si="127"/>
        <v>9</v>
      </c>
    </row>
    <row r="260" spans="1:22" x14ac:dyDescent="0.25">
      <c r="A260" t="s">
        <v>253</v>
      </c>
      <c r="B260">
        <v>0</v>
      </c>
      <c r="C260">
        <v>0</v>
      </c>
      <c r="D260">
        <f t="shared" si="118"/>
        <v>0</v>
      </c>
      <c r="E260">
        <v>0</v>
      </c>
      <c r="F260">
        <v>1</v>
      </c>
      <c r="G260">
        <f t="shared" si="119"/>
        <v>1</v>
      </c>
      <c r="H260">
        <v>0</v>
      </c>
      <c r="I260">
        <v>0</v>
      </c>
      <c r="J260">
        <f t="shared" si="120"/>
        <v>0</v>
      </c>
      <c r="K260">
        <f t="shared" si="121"/>
        <v>0</v>
      </c>
      <c r="L260">
        <f t="shared" si="122"/>
        <v>1</v>
      </c>
      <c r="M260">
        <f t="shared" si="123"/>
        <v>1</v>
      </c>
      <c r="N260">
        <f>IF(K336&gt;0,ROUND((K260/K336) * 100, 4), "")</f>
        <v>0</v>
      </c>
      <c r="O260">
        <f>IF(L336&gt;0,ROUND((L260/L336) * 100, 4), "")</f>
        <v>1.11E-2</v>
      </c>
      <c r="P260">
        <f>IF(M336&gt;0,ROUND((M260/M336) * 100, 4), "")</f>
        <v>2.8999999999999998E-3</v>
      </c>
      <c r="Q260">
        <v>0</v>
      </c>
      <c r="R260">
        <v>0</v>
      </c>
      <c r="S260">
        <f t="shared" si="124"/>
        <v>0</v>
      </c>
      <c r="T260">
        <f t="shared" si="125"/>
        <v>0</v>
      </c>
      <c r="U260">
        <f t="shared" si="126"/>
        <v>1</v>
      </c>
      <c r="V260">
        <f t="shared" si="127"/>
        <v>1</v>
      </c>
    </row>
    <row r="261" spans="1:22" x14ac:dyDescent="0.25">
      <c r="A261" t="s">
        <v>254</v>
      </c>
      <c r="B261">
        <v>0</v>
      </c>
      <c r="C261">
        <v>0</v>
      </c>
      <c r="D261">
        <f t="shared" si="118"/>
        <v>0</v>
      </c>
      <c r="E261">
        <v>0</v>
      </c>
      <c r="F261">
        <v>0</v>
      </c>
      <c r="G261">
        <f t="shared" si="119"/>
        <v>0</v>
      </c>
      <c r="H261">
        <v>0</v>
      </c>
      <c r="I261">
        <v>0</v>
      </c>
      <c r="J261">
        <f t="shared" si="120"/>
        <v>0</v>
      </c>
      <c r="K261">
        <f t="shared" si="121"/>
        <v>0</v>
      </c>
      <c r="L261">
        <f t="shared" si="122"/>
        <v>0</v>
      </c>
      <c r="M261">
        <f t="shared" si="123"/>
        <v>0</v>
      </c>
      <c r="N261">
        <f>IF(K336&gt;0,ROUND((K261/K336) * 100, 4), "")</f>
        <v>0</v>
      </c>
      <c r="O261">
        <f>IF(L336&gt;0,ROUND((L261/L336) * 100, 4), "")</f>
        <v>0</v>
      </c>
      <c r="P261">
        <f>IF(M336&gt;0,ROUND((M261/M336) * 100, 4), "")</f>
        <v>0</v>
      </c>
      <c r="Q261">
        <v>0</v>
      </c>
      <c r="R261">
        <v>0</v>
      </c>
      <c r="S261">
        <f t="shared" si="124"/>
        <v>0</v>
      </c>
      <c r="T261">
        <f t="shared" si="125"/>
        <v>0</v>
      </c>
      <c r="U261">
        <f t="shared" si="126"/>
        <v>0</v>
      </c>
      <c r="V261">
        <f t="shared" si="127"/>
        <v>0</v>
      </c>
    </row>
    <row r="262" spans="1:22" x14ac:dyDescent="0.25">
      <c r="A262" t="s">
        <v>255</v>
      </c>
      <c r="B262">
        <v>1</v>
      </c>
      <c r="C262">
        <v>46</v>
      </c>
      <c r="D262">
        <f t="shared" si="118"/>
        <v>47</v>
      </c>
      <c r="E262">
        <v>15</v>
      </c>
      <c r="F262">
        <v>263</v>
      </c>
      <c r="G262">
        <f t="shared" si="119"/>
        <v>278</v>
      </c>
      <c r="H262">
        <v>0</v>
      </c>
      <c r="I262">
        <v>16</v>
      </c>
      <c r="J262">
        <f t="shared" si="120"/>
        <v>16</v>
      </c>
      <c r="K262">
        <f t="shared" si="121"/>
        <v>15</v>
      </c>
      <c r="L262">
        <f t="shared" si="122"/>
        <v>279</v>
      </c>
      <c r="M262">
        <f t="shared" si="123"/>
        <v>294</v>
      </c>
      <c r="N262">
        <f>IF(K336&gt;0,ROUND((K262/K336) * 100, 4), "")</f>
        <v>5.8200000000000002E-2</v>
      </c>
      <c r="O262">
        <f>IF(L336&gt;0,ROUND((L262/L336) * 100, 4), "")</f>
        <v>3.0855999999999999</v>
      </c>
      <c r="P262">
        <f>IF(M336&gt;0,ROUND((M262/M336) * 100, 4), "")</f>
        <v>0.84460000000000002</v>
      </c>
      <c r="Q262">
        <v>12</v>
      </c>
      <c r="R262">
        <v>221</v>
      </c>
      <c r="S262">
        <f t="shared" si="124"/>
        <v>233</v>
      </c>
      <c r="T262">
        <f t="shared" si="125"/>
        <v>4</v>
      </c>
      <c r="U262">
        <f t="shared" si="126"/>
        <v>104</v>
      </c>
      <c r="V262">
        <f t="shared" si="127"/>
        <v>108</v>
      </c>
    </row>
    <row r="263" spans="1:22" x14ac:dyDescent="0.25">
      <c r="A263" t="s">
        <v>256</v>
      </c>
      <c r="B263">
        <v>0</v>
      </c>
      <c r="C263">
        <v>0</v>
      </c>
      <c r="D263">
        <f t="shared" si="118"/>
        <v>0</v>
      </c>
      <c r="E263">
        <v>0</v>
      </c>
      <c r="F263">
        <v>0</v>
      </c>
      <c r="G263">
        <f t="shared" si="119"/>
        <v>0</v>
      </c>
      <c r="H263">
        <v>0</v>
      </c>
      <c r="I263">
        <v>0</v>
      </c>
      <c r="J263">
        <f t="shared" si="120"/>
        <v>0</v>
      </c>
      <c r="K263">
        <f t="shared" si="121"/>
        <v>0</v>
      </c>
      <c r="L263">
        <f t="shared" si="122"/>
        <v>0</v>
      </c>
      <c r="M263">
        <f t="shared" si="123"/>
        <v>0</v>
      </c>
      <c r="N263">
        <f>IF(K336&gt;0,ROUND((K263/K336) * 100, 4), "")</f>
        <v>0</v>
      </c>
      <c r="O263">
        <f>IF(L336&gt;0,ROUND((L263/L336) * 100, 4), "")</f>
        <v>0</v>
      </c>
      <c r="P263">
        <f>IF(M336&gt;0,ROUND((M263/M336) * 100, 4), "")</f>
        <v>0</v>
      </c>
      <c r="Q263">
        <v>0</v>
      </c>
      <c r="R263">
        <v>0</v>
      </c>
      <c r="S263">
        <f t="shared" si="124"/>
        <v>0</v>
      </c>
      <c r="T263">
        <f t="shared" si="125"/>
        <v>0</v>
      </c>
      <c r="U263">
        <f t="shared" si="126"/>
        <v>0</v>
      </c>
      <c r="V263">
        <f t="shared" si="127"/>
        <v>0</v>
      </c>
    </row>
    <row r="264" spans="1:22" x14ac:dyDescent="0.25">
      <c r="A264" t="s">
        <v>257</v>
      </c>
      <c r="B264">
        <v>0</v>
      </c>
      <c r="C264">
        <v>2</v>
      </c>
      <c r="D264">
        <f t="shared" si="118"/>
        <v>2</v>
      </c>
      <c r="E264">
        <v>0</v>
      </c>
      <c r="F264">
        <v>0</v>
      </c>
      <c r="G264">
        <f t="shared" si="119"/>
        <v>0</v>
      </c>
      <c r="H264">
        <v>0</v>
      </c>
      <c r="I264">
        <v>0</v>
      </c>
      <c r="J264">
        <f t="shared" si="120"/>
        <v>0</v>
      </c>
      <c r="K264">
        <f t="shared" si="121"/>
        <v>0</v>
      </c>
      <c r="L264">
        <f t="shared" si="122"/>
        <v>0</v>
      </c>
      <c r="M264">
        <f t="shared" si="123"/>
        <v>0</v>
      </c>
      <c r="N264">
        <f>IF(K336&gt;0,ROUND((K264/K336) * 100, 4), "")</f>
        <v>0</v>
      </c>
      <c r="O264">
        <f>IF(L336&gt;0,ROUND((L264/L336) * 100, 4), "")</f>
        <v>0</v>
      </c>
      <c r="P264">
        <f>IF(M336&gt;0,ROUND((M264/M336) * 100, 4), "")</f>
        <v>0</v>
      </c>
      <c r="Q264">
        <v>0</v>
      </c>
      <c r="R264">
        <v>2</v>
      </c>
      <c r="S264">
        <f t="shared" si="124"/>
        <v>2</v>
      </c>
      <c r="T264">
        <f t="shared" si="125"/>
        <v>0</v>
      </c>
      <c r="U264">
        <f t="shared" si="126"/>
        <v>0</v>
      </c>
      <c r="V264">
        <f t="shared" si="127"/>
        <v>0</v>
      </c>
    </row>
    <row r="265" spans="1:22" x14ac:dyDescent="0.25">
      <c r="A265" t="s">
        <v>258</v>
      </c>
      <c r="B265">
        <v>0</v>
      </c>
      <c r="C265">
        <v>1</v>
      </c>
      <c r="D265">
        <f t="shared" si="118"/>
        <v>1</v>
      </c>
      <c r="E265">
        <v>0</v>
      </c>
      <c r="F265">
        <v>5</v>
      </c>
      <c r="G265">
        <f t="shared" si="119"/>
        <v>5</v>
      </c>
      <c r="H265">
        <v>0</v>
      </c>
      <c r="I265">
        <v>1</v>
      </c>
      <c r="J265">
        <f t="shared" si="120"/>
        <v>1</v>
      </c>
      <c r="K265">
        <f t="shared" si="121"/>
        <v>0</v>
      </c>
      <c r="L265">
        <f t="shared" si="122"/>
        <v>6</v>
      </c>
      <c r="M265">
        <f t="shared" si="123"/>
        <v>6</v>
      </c>
      <c r="N265">
        <f>IF(K336&gt;0,ROUND((K265/K336) * 100, 4), "")</f>
        <v>0</v>
      </c>
      <c r="O265">
        <f>IF(L336&gt;0,ROUND((L265/L336) * 100, 4), "")</f>
        <v>6.6400000000000001E-2</v>
      </c>
      <c r="P265">
        <f>IF(M336&gt;0,ROUND((M265/M336) * 100, 4), "")</f>
        <v>1.72E-2</v>
      </c>
      <c r="Q265">
        <v>0</v>
      </c>
      <c r="R265">
        <v>7</v>
      </c>
      <c r="S265">
        <f t="shared" si="124"/>
        <v>7</v>
      </c>
      <c r="T265">
        <f t="shared" si="125"/>
        <v>0</v>
      </c>
      <c r="U265">
        <f t="shared" si="126"/>
        <v>0</v>
      </c>
      <c r="V265">
        <f t="shared" si="127"/>
        <v>0</v>
      </c>
    </row>
    <row r="266" spans="1:22" x14ac:dyDescent="0.25">
      <c r="A266" t="s">
        <v>259</v>
      </c>
      <c r="B266">
        <v>0</v>
      </c>
      <c r="C266">
        <v>0</v>
      </c>
      <c r="D266">
        <f t="shared" si="118"/>
        <v>0</v>
      </c>
      <c r="E266">
        <v>5</v>
      </c>
      <c r="F266">
        <v>1</v>
      </c>
      <c r="G266">
        <f t="shared" si="119"/>
        <v>6</v>
      </c>
      <c r="H266">
        <v>0</v>
      </c>
      <c r="I266">
        <v>0</v>
      </c>
      <c r="J266">
        <f t="shared" si="120"/>
        <v>0</v>
      </c>
      <c r="K266">
        <f t="shared" si="121"/>
        <v>5</v>
      </c>
      <c r="L266">
        <f t="shared" si="122"/>
        <v>1</v>
      </c>
      <c r="M266">
        <f t="shared" si="123"/>
        <v>6</v>
      </c>
      <c r="N266">
        <f>IF(K336&gt;0,ROUND((K266/K336) * 100, 4), "")</f>
        <v>1.9400000000000001E-2</v>
      </c>
      <c r="O266">
        <f>IF(L336&gt;0,ROUND((L266/L336) * 100, 4), "")</f>
        <v>1.11E-2</v>
      </c>
      <c r="P266">
        <f>IF(M336&gt;0,ROUND((M266/M336) * 100, 4), "")</f>
        <v>1.72E-2</v>
      </c>
      <c r="Q266">
        <v>5</v>
      </c>
      <c r="R266">
        <v>1</v>
      </c>
      <c r="S266">
        <f t="shared" si="124"/>
        <v>6</v>
      </c>
      <c r="T266">
        <f t="shared" si="125"/>
        <v>0</v>
      </c>
      <c r="U266">
        <f t="shared" si="126"/>
        <v>0</v>
      </c>
      <c r="V266">
        <f t="shared" si="127"/>
        <v>0</v>
      </c>
    </row>
    <row r="267" spans="1:22" x14ac:dyDescent="0.25">
      <c r="A267" t="s">
        <v>260</v>
      </c>
      <c r="B267">
        <v>0</v>
      </c>
      <c r="C267">
        <v>1</v>
      </c>
      <c r="D267">
        <f t="shared" si="118"/>
        <v>1</v>
      </c>
      <c r="E267">
        <v>0</v>
      </c>
      <c r="F267">
        <v>0</v>
      </c>
      <c r="G267">
        <f t="shared" si="119"/>
        <v>0</v>
      </c>
      <c r="H267">
        <v>0</v>
      </c>
      <c r="I267">
        <v>0</v>
      </c>
      <c r="J267">
        <f t="shared" si="120"/>
        <v>0</v>
      </c>
      <c r="K267">
        <f t="shared" si="121"/>
        <v>0</v>
      </c>
      <c r="L267">
        <f t="shared" si="122"/>
        <v>0</v>
      </c>
      <c r="M267">
        <f t="shared" si="123"/>
        <v>0</v>
      </c>
      <c r="N267">
        <f>IF(K336&gt;0,ROUND((K267/K336) * 100, 4), "")</f>
        <v>0</v>
      </c>
      <c r="O267">
        <f>IF(L336&gt;0,ROUND((L267/L336) * 100, 4), "")</f>
        <v>0</v>
      </c>
      <c r="P267">
        <f>IF(M336&gt;0,ROUND((M267/M336) * 100, 4), "")</f>
        <v>0</v>
      </c>
      <c r="Q267">
        <v>0</v>
      </c>
      <c r="R267">
        <v>1</v>
      </c>
      <c r="S267">
        <f t="shared" si="124"/>
        <v>1</v>
      </c>
      <c r="T267">
        <f t="shared" si="125"/>
        <v>0</v>
      </c>
      <c r="U267">
        <f t="shared" si="126"/>
        <v>0</v>
      </c>
      <c r="V267">
        <f t="shared" si="127"/>
        <v>0</v>
      </c>
    </row>
    <row r="268" spans="1:22" x14ac:dyDescent="0.25">
      <c r="A268" t="s">
        <v>261</v>
      </c>
      <c r="B268">
        <v>0</v>
      </c>
      <c r="C268">
        <v>0</v>
      </c>
      <c r="D268">
        <f t="shared" si="118"/>
        <v>0</v>
      </c>
      <c r="E268">
        <v>0</v>
      </c>
      <c r="F268">
        <v>0</v>
      </c>
      <c r="G268">
        <f t="shared" si="119"/>
        <v>0</v>
      </c>
      <c r="H268">
        <v>0</v>
      </c>
      <c r="I268">
        <v>0</v>
      </c>
      <c r="J268">
        <f t="shared" si="120"/>
        <v>0</v>
      </c>
      <c r="K268">
        <f t="shared" si="121"/>
        <v>0</v>
      </c>
      <c r="L268">
        <f t="shared" si="122"/>
        <v>0</v>
      </c>
      <c r="M268">
        <f t="shared" si="123"/>
        <v>0</v>
      </c>
      <c r="N268">
        <f>IF(K336&gt;0,ROUND((K268/K336) * 100, 4), "")</f>
        <v>0</v>
      </c>
      <c r="O268">
        <f>IF(L336&gt;0,ROUND((L268/L336) * 100, 4), "")</f>
        <v>0</v>
      </c>
      <c r="P268">
        <f>IF(M336&gt;0,ROUND((M268/M336) * 100, 4), "")</f>
        <v>0</v>
      </c>
      <c r="Q268">
        <v>0</v>
      </c>
      <c r="R268">
        <v>0</v>
      </c>
      <c r="S268">
        <f t="shared" si="124"/>
        <v>0</v>
      </c>
      <c r="T268">
        <f t="shared" si="125"/>
        <v>0</v>
      </c>
      <c r="U268">
        <f t="shared" si="126"/>
        <v>0</v>
      </c>
      <c r="V268">
        <f t="shared" si="127"/>
        <v>0</v>
      </c>
    </row>
    <row r="269" spans="1:22" x14ac:dyDescent="0.25">
      <c r="A269" t="s">
        <v>262</v>
      </c>
      <c r="B269">
        <v>0</v>
      </c>
      <c r="C269">
        <v>0</v>
      </c>
      <c r="D269">
        <f t="shared" si="118"/>
        <v>0</v>
      </c>
      <c r="E269">
        <v>0</v>
      </c>
      <c r="F269">
        <v>0</v>
      </c>
      <c r="G269">
        <f t="shared" si="119"/>
        <v>0</v>
      </c>
      <c r="H269">
        <v>1</v>
      </c>
      <c r="I269">
        <v>0</v>
      </c>
      <c r="J269">
        <f t="shared" si="120"/>
        <v>1</v>
      </c>
      <c r="K269">
        <f t="shared" si="121"/>
        <v>1</v>
      </c>
      <c r="L269">
        <f t="shared" si="122"/>
        <v>0</v>
      </c>
      <c r="M269">
        <f t="shared" si="123"/>
        <v>1</v>
      </c>
      <c r="N269">
        <f>IF(K336&gt;0,ROUND((K269/K336) * 100, 4), "")</f>
        <v>3.8999999999999998E-3</v>
      </c>
      <c r="O269">
        <f>IF(L336&gt;0,ROUND((L269/L336) * 100, 4), "")</f>
        <v>0</v>
      </c>
      <c r="P269">
        <f>IF(M336&gt;0,ROUND((M269/M336) * 100, 4), "")</f>
        <v>2.8999999999999998E-3</v>
      </c>
      <c r="Q269">
        <v>1</v>
      </c>
      <c r="R269">
        <v>0</v>
      </c>
      <c r="S269">
        <f t="shared" si="124"/>
        <v>1</v>
      </c>
      <c r="T269">
        <f t="shared" si="125"/>
        <v>0</v>
      </c>
      <c r="U269">
        <f t="shared" si="126"/>
        <v>0</v>
      </c>
      <c r="V269">
        <f t="shared" si="127"/>
        <v>0</v>
      </c>
    </row>
    <row r="270" spans="1:22" x14ac:dyDescent="0.25">
      <c r="A270" t="s">
        <v>263</v>
      </c>
      <c r="B270">
        <v>1</v>
      </c>
      <c r="C270">
        <v>12</v>
      </c>
      <c r="D270">
        <f t="shared" si="118"/>
        <v>13</v>
      </c>
      <c r="E270">
        <v>6</v>
      </c>
      <c r="F270">
        <v>27</v>
      </c>
      <c r="G270">
        <f t="shared" si="119"/>
        <v>33</v>
      </c>
      <c r="H270">
        <v>0</v>
      </c>
      <c r="I270">
        <v>0</v>
      </c>
      <c r="J270">
        <f t="shared" si="120"/>
        <v>0</v>
      </c>
      <c r="K270">
        <f t="shared" si="121"/>
        <v>6</v>
      </c>
      <c r="L270">
        <f t="shared" si="122"/>
        <v>27</v>
      </c>
      <c r="M270">
        <f t="shared" si="123"/>
        <v>33</v>
      </c>
      <c r="N270">
        <f>IF(K336&gt;0,ROUND((K270/K336) * 100, 4), "")</f>
        <v>2.3300000000000001E-2</v>
      </c>
      <c r="O270">
        <f>IF(L336&gt;0,ROUND((L270/L336) * 100, 4), "")</f>
        <v>0.29859999999999998</v>
      </c>
      <c r="P270">
        <f>IF(M336&gt;0,ROUND((M270/M336) * 100, 4), "")</f>
        <v>9.4799999999999995E-2</v>
      </c>
      <c r="Q270">
        <v>7</v>
      </c>
      <c r="R270">
        <v>36</v>
      </c>
      <c r="S270">
        <f t="shared" si="124"/>
        <v>43</v>
      </c>
      <c r="T270">
        <f t="shared" si="125"/>
        <v>0</v>
      </c>
      <c r="U270">
        <f t="shared" si="126"/>
        <v>3</v>
      </c>
      <c r="V270">
        <f t="shared" si="127"/>
        <v>3</v>
      </c>
    </row>
    <row r="271" spans="1:22" x14ac:dyDescent="0.25">
      <c r="A271" t="s">
        <v>264</v>
      </c>
      <c r="B271">
        <v>0</v>
      </c>
      <c r="C271">
        <v>0</v>
      </c>
      <c r="D271">
        <f t="shared" si="118"/>
        <v>0</v>
      </c>
      <c r="E271">
        <v>0</v>
      </c>
      <c r="F271">
        <v>5</v>
      </c>
      <c r="G271">
        <f t="shared" si="119"/>
        <v>5</v>
      </c>
      <c r="H271">
        <v>0</v>
      </c>
      <c r="I271">
        <v>0</v>
      </c>
      <c r="J271">
        <f t="shared" si="120"/>
        <v>0</v>
      </c>
      <c r="K271">
        <f t="shared" si="121"/>
        <v>0</v>
      </c>
      <c r="L271">
        <f t="shared" si="122"/>
        <v>5</v>
      </c>
      <c r="M271">
        <f t="shared" si="123"/>
        <v>5</v>
      </c>
      <c r="N271">
        <f>IF(K336&gt;0,ROUND((K271/K336) * 100, 4), "")</f>
        <v>0</v>
      </c>
      <c r="O271">
        <f>IF(L336&gt;0,ROUND((L271/L336) * 100, 4), "")</f>
        <v>5.5300000000000002E-2</v>
      </c>
      <c r="P271">
        <f>IF(M336&gt;0,ROUND((M271/M336) * 100, 4), "")</f>
        <v>1.44E-2</v>
      </c>
      <c r="Q271">
        <v>0</v>
      </c>
      <c r="R271">
        <v>4</v>
      </c>
      <c r="S271">
        <f t="shared" si="124"/>
        <v>4</v>
      </c>
      <c r="T271">
        <f t="shared" si="125"/>
        <v>0</v>
      </c>
      <c r="U271">
        <f t="shared" si="126"/>
        <v>1</v>
      </c>
      <c r="V271">
        <f t="shared" si="127"/>
        <v>1</v>
      </c>
    </row>
    <row r="272" spans="1:22" x14ac:dyDescent="0.25">
      <c r="A272" t="s">
        <v>265</v>
      </c>
      <c r="B272">
        <v>0</v>
      </c>
      <c r="C272">
        <v>0</v>
      </c>
      <c r="D272">
        <f t="shared" si="118"/>
        <v>0</v>
      </c>
      <c r="E272">
        <v>2</v>
      </c>
      <c r="F272">
        <v>2</v>
      </c>
      <c r="G272">
        <f t="shared" si="119"/>
        <v>4</v>
      </c>
      <c r="H272">
        <v>0</v>
      </c>
      <c r="I272">
        <v>0</v>
      </c>
      <c r="J272">
        <f t="shared" si="120"/>
        <v>0</v>
      </c>
      <c r="K272">
        <f t="shared" si="121"/>
        <v>2</v>
      </c>
      <c r="L272">
        <f t="shared" si="122"/>
        <v>2</v>
      </c>
      <c r="M272">
        <f t="shared" si="123"/>
        <v>4</v>
      </c>
      <c r="N272">
        <f>IF(K336&gt;0,ROUND((K272/K336) * 100, 4), "")</f>
        <v>7.7999999999999996E-3</v>
      </c>
      <c r="O272">
        <f>IF(L336&gt;0,ROUND((L272/L336) * 100, 4), "")</f>
        <v>2.2100000000000002E-2</v>
      </c>
      <c r="P272">
        <f>IF(M336&gt;0,ROUND((M272/M336) * 100, 4), "")</f>
        <v>1.15E-2</v>
      </c>
      <c r="Q272">
        <v>1</v>
      </c>
      <c r="R272">
        <v>2</v>
      </c>
      <c r="S272">
        <f t="shared" si="124"/>
        <v>3</v>
      </c>
      <c r="T272">
        <f t="shared" si="125"/>
        <v>1</v>
      </c>
      <c r="U272">
        <f t="shared" si="126"/>
        <v>0</v>
      </c>
      <c r="V272">
        <f t="shared" si="127"/>
        <v>1</v>
      </c>
    </row>
    <row r="273" spans="1:22" x14ac:dyDescent="0.25">
      <c r="A273" t="s">
        <v>266</v>
      </c>
      <c r="B273">
        <v>0</v>
      </c>
      <c r="C273">
        <v>0</v>
      </c>
      <c r="D273">
        <f t="shared" si="118"/>
        <v>0</v>
      </c>
      <c r="E273">
        <v>5</v>
      </c>
      <c r="F273">
        <v>27</v>
      </c>
      <c r="G273">
        <f t="shared" si="119"/>
        <v>32</v>
      </c>
      <c r="H273">
        <v>0</v>
      </c>
      <c r="I273">
        <v>2</v>
      </c>
      <c r="J273">
        <f t="shared" si="120"/>
        <v>2</v>
      </c>
      <c r="K273">
        <f t="shared" si="121"/>
        <v>5</v>
      </c>
      <c r="L273">
        <f t="shared" si="122"/>
        <v>29</v>
      </c>
      <c r="M273">
        <f t="shared" si="123"/>
        <v>34</v>
      </c>
      <c r="N273">
        <f>IF(K336&gt;0,ROUND((K273/K336) * 100, 4), "")</f>
        <v>1.9400000000000001E-2</v>
      </c>
      <c r="O273">
        <f>IF(L336&gt;0,ROUND((L273/L336) * 100, 4), "")</f>
        <v>0.32069999999999999</v>
      </c>
      <c r="P273">
        <f>IF(M336&gt;0,ROUND((M273/M336) * 100, 4), "")</f>
        <v>9.7699999999999995E-2</v>
      </c>
      <c r="Q273">
        <v>5</v>
      </c>
      <c r="R273">
        <v>28</v>
      </c>
      <c r="S273">
        <f t="shared" si="124"/>
        <v>33</v>
      </c>
      <c r="T273">
        <f t="shared" si="125"/>
        <v>0</v>
      </c>
      <c r="U273">
        <f t="shared" si="126"/>
        <v>1</v>
      </c>
      <c r="V273">
        <f t="shared" si="127"/>
        <v>1</v>
      </c>
    </row>
    <row r="274" spans="1:22" x14ac:dyDescent="0.25">
      <c r="A274" t="s">
        <v>267</v>
      </c>
      <c r="B274">
        <v>0</v>
      </c>
      <c r="C274">
        <v>1</v>
      </c>
      <c r="D274">
        <f t="shared" si="118"/>
        <v>1</v>
      </c>
      <c r="E274">
        <v>0</v>
      </c>
      <c r="F274">
        <v>12</v>
      </c>
      <c r="G274">
        <f t="shared" si="119"/>
        <v>12</v>
      </c>
      <c r="H274">
        <v>0</v>
      </c>
      <c r="I274">
        <v>0</v>
      </c>
      <c r="J274">
        <f t="shared" si="120"/>
        <v>0</v>
      </c>
      <c r="K274">
        <f t="shared" si="121"/>
        <v>0</v>
      </c>
      <c r="L274">
        <f t="shared" si="122"/>
        <v>12</v>
      </c>
      <c r="M274">
        <f t="shared" si="123"/>
        <v>12</v>
      </c>
      <c r="N274">
        <f>IF(K336&gt;0,ROUND((K274/K336) * 100, 4), "")</f>
        <v>0</v>
      </c>
      <c r="O274">
        <f>IF(L336&gt;0,ROUND((L274/L336) * 100, 4), "")</f>
        <v>0.13270000000000001</v>
      </c>
      <c r="P274">
        <f>IF(M336&gt;0,ROUND((M274/M336) * 100, 4), "")</f>
        <v>3.4500000000000003E-2</v>
      </c>
      <c r="Q274">
        <v>0</v>
      </c>
      <c r="R274">
        <v>13</v>
      </c>
      <c r="S274">
        <f t="shared" si="124"/>
        <v>13</v>
      </c>
      <c r="T274">
        <f t="shared" si="125"/>
        <v>0</v>
      </c>
      <c r="U274">
        <f t="shared" si="126"/>
        <v>0</v>
      </c>
      <c r="V274">
        <f t="shared" si="127"/>
        <v>0</v>
      </c>
    </row>
    <row r="275" spans="1:22" x14ac:dyDescent="0.25">
      <c r="A275" t="s">
        <v>268</v>
      </c>
      <c r="B275">
        <v>0</v>
      </c>
      <c r="C275">
        <v>69</v>
      </c>
      <c r="D275">
        <f t="shared" si="118"/>
        <v>69</v>
      </c>
      <c r="E275">
        <v>0</v>
      </c>
      <c r="F275">
        <v>56</v>
      </c>
      <c r="G275">
        <f t="shared" si="119"/>
        <v>56</v>
      </c>
      <c r="H275">
        <v>0</v>
      </c>
      <c r="I275">
        <v>2</v>
      </c>
      <c r="J275">
        <f t="shared" si="120"/>
        <v>2</v>
      </c>
      <c r="K275">
        <f t="shared" si="121"/>
        <v>0</v>
      </c>
      <c r="L275">
        <f t="shared" si="122"/>
        <v>58</v>
      </c>
      <c r="M275">
        <f t="shared" si="123"/>
        <v>58</v>
      </c>
      <c r="N275">
        <f>IF(K336&gt;0,ROUND((K275/K336) * 100, 4), "")</f>
        <v>0</v>
      </c>
      <c r="O275">
        <f>IF(L336&gt;0,ROUND((L275/L336) * 100, 4), "")</f>
        <v>0.64149999999999996</v>
      </c>
      <c r="P275">
        <f>IF(M336&gt;0,ROUND((M275/M336) * 100, 4), "")</f>
        <v>0.1666</v>
      </c>
      <c r="Q275">
        <v>0</v>
      </c>
      <c r="R275">
        <v>56</v>
      </c>
      <c r="S275">
        <f t="shared" si="124"/>
        <v>56</v>
      </c>
      <c r="T275">
        <f t="shared" si="125"/>
        <v>0</v>
      </c>
      <c r="U275">
        <f t="shared" si="126"/>
        <v>71</v>
      </c>
      <c r="V275">
        <f t="shared" si="127"/>
        <v>71</v>
      </c>
    </row>
    <row r="276" spans="1:22" x14ac:dyDescent="0.25">
      <c r="A276" t="s">
        <v>269</v>
      </c>
      <c r="B276">
        <v>0</v>
      </c>
      <c r="C276">
        <v>0</v>
      </c>
      <c r="D276">
        <f t="shared" si="118"/>
        <v>0</v>
      </c>
      <c r="E276">
        <v>1</v>
      </c>
      <c r="F276">
        <v>3</v>
      </c>
      <c r="G276">
        <f t="shared" si="119"/>
        <v>4</v>
      </c>
      <c r="H276">
        <v>0</v>
      </c>
      <c r="I276">
        <v>0</v>
      </c>
      <c r="J276">
        <f t="shared" si="120"/>
        <v>0</v>
      </c>
      <c r="K276">
        <f t="shared" si="121"/>
        <v>1</v>
      </c>
      <c r="L276">
        <f t="shared" si="122"/>
        <v>3</v>
      </c>
      <c r="M276">
        <f t="shared" si="123"/>
        <v>4</v>
      </c>
      <c r="N276">
        <f>IF(K336&gt;0,ROUND((K276/K336) * 100, 4), "")</f>
        <v>3.8999999999999998E-3</v>
      </c>
      <c r="O276">
        <f>IF(L336&gt;0,ROUND((L276/L336) * 100, 4), "")</f>
        <v>3.32E-2</v>
      </c>
      <c r="P276">
        <f>IF(M336&gt;0,ROUND((M276/M336) * 100, 4), "")</f>
        <v>1.15E-2</v>
      </c>
      <c r="Q276">
        <v>1</v>
      </c>
      <c r="R276">
        <v>3</v>
      </c>
      <c r="S276">
        <f t="shared" si="124"/>
        <v>4</v>
      </c>
      <c r="T276">
        <f t="shared" si="125"/>
        <v>0</v>
      </c>
      <c r="U276">
        <f t="shared" si="126"/>
        <v>0</v>
      </c>
      <c r="V276">
        <f t="shared" si="127"/>
        <v>0</v>
      </c>
    </row>
    <row r="277" spans="1:22" x14ac:dyDescent="0.25">
      <c r="A277" t="s">
        <v>270</v>
      </c>
      <c r="B277">
        <v>0</v>
      </c>
      <c r="C277">
        <v>0</v>
      </c>
      <c r="D277">
        <f t="shared" si="118"/>
        <v>0</v>
      </c>
      <c r="E277">
        <v>0</v>
      </c>
      <c r="F277">
        <v>0</v>
      </c>
      <c r="G277">
        <f t="shared" si="119"/>
        <v>0</v>
      </c>
      <c r="H277">
        <v>0</v>
      </c>
      <c r="I277">
        <v>0</v>
      </c>
      <c r="J277">
        <f t="shared" si="120"/>
        <v>0</v>
      </c>
      <c r="K277">
        <f t="shared" si="121"/>
        <v>0</v>
      </c>
      <c r="L277">
        <f t="shared" si="122"/>
        <v>0</v>
      </c>
      <c r="M277">
        <f t="shared" si="123"/>
        <v>0</v>
      </c>
      <c r="N277">
        <f>IF(K336&gt;0,ROUND((K277/K336) * 100, 4), "")</f>
        <v>0</v>
      </c>
      <c r="O277">
        <f>IF(L336&gt;0,ROUND((L277/L336) * 100, 4), "")</f>
        <v>0</v>
      </c>
      <c r="P277">
        <f>IF(M336&gt;0,ROUND((M277/M336) * 100, 4), "")</f>
        <v>0</v>
      </c>
      <c r="Q277">
        <v>0</v>
      </c>
      <c r="R277">
        <v>0</v>
      </c>
      <c r="S277">
        <f t="shared" si="124"/>
        <v>0</v>
      </c>
      <c r="T277">
        <f t="shared" si="125"/>
        <v>0</v>
      </c>
      <c r="U277">
        <f t="shared" si="126"/>
        <v>0</v>
      </c>
      <c r="V277">
        <f t="shared" si="127"/>
        <v>0</v>
      </c>
    </row>
    <row r="278" spans="1:22" x14ac:dyDescent="0.25">
      <c r="A278" t="s">
        <v>271</v>
      </c>
      <c r="B278">
        <v>0</v>
      </c>
      <c r="C278">
        <v>0</v>
      </c>
      <c r="D278">
        <f t="shared" si="118"/>
        <v>0</v>
      </c>
      <c r="E278">
        <v>0</v>
      </c>
      <c r="F278">
        <v>3</v>
      </c>
      <c r="G278">
        <f t="shared" si="119"/>
        <v>3</v>
      </c>
      <c r="H278">
        <v>0</v>
      </c>
      <c r="I278">
        <v>0</v>
      </c>
      <c r="J278">
        <f t="shared" si="120"/>
        <v>0</v>
      </c>
      <c r="K278">
        <f t="shared" si="121"/>
        <v>0</v>
      </c>
      <c r="L278">
        <f t="shared" si="122"/>
        <v>3</v>
      </c>
      <c r="M278">
        <f t="shared" si="123"/>
        <v>3</v>
      </c>
      <c r="N278">
        <f>IF(K336&gt;0,ROUND((K278/K336) * 100, 4), "")</f>
        <v>0</v>
      </c>
      <c r="O278">
        <f>IF(L336&gt;0,ROUND((L278/L336) * 100, 4), "")</f>
        <v>3.32E-2</v>
      </c>
      <c r="P278">
        <f>IF(M336&gt;0,ROUND((M278/M336) * 100, 4), "")</f>
        <v>8.6E-3</v>
      </c>
      <c r="Q278">
        <v>0</v>
      </c>
      <c r="R278">
        <v>3</v>
      </c>
      <c r="S278">
        <f t="shared" si="124"/>
        <v>3</v>
      </c>
      <c r="T278">
        <f t="shared" si="125"/>
        <v>0</v>
      </c>
      <c r="U278">
        <f t="shared" si="126"/>
        <v>0</v>
      </c>
      <c r="V278">
        <f t="shared" si="127"/>
        <v>0</v>
      </c>
    </row>
    <row r="279" spans="1:22" x14ac:dyDescent="0.25">
      <c r="A279" t="s">
        <v>272</v>
      </c>
      <c r="B279">
        <v>0</v>
      </c>
      <c r="C279">
        <v>0</v>
      </c>
      <c r="D279">
        <f t="shared" si="118"/>
        <v>0</v>
      </c>
      <c r="E279">
        <v>0</v>
      </c>
      <c r="F279">
        <v>0</v>
      </c>
      <c r="G279">
        <f t="shared" si="119"/>
        <v>0</v>
      </c>
      <c r="H279">
        <v>0</v>
      </c>
      <c r="I279">
        <v>0</v>
      </c>
      <c r="J279">
        <f t="shared" si="120"/>
        <v>0</v>
      </c>
      <c r="K279">
        <f t="shared" si="121"/>
        <v>0</v>
      </c>
      <c r="L279">
        <f t="shared" si="122"/>
        <v>0</v>
      </c>
      <c r="M279">
        <f t="shared" si="123"/>
        <v>0</v>
      </c>
      <c r="N279">
        <f>IF(K336&gt;0,ROUND((K279/K336) * 100, 4), "")</f>
        <v>0</v>
      </c>
      <c r="O279">
        <f>IF(L336&gt;0,ROUND((L279/L336) * 100, 4), "")</f>
        <v>0</v>
      </c>
      <c r="P279">
        <f>IF(M336&gt;0,ROUND((M279/M336) * 100, 4), "")</f>
        <v>0</v>
      </c>
      <c r="Q279">
        <v>0</v>
      </c>
      <c r="R279">
        <v>0</v>
      </c>
      <c r="S279">
        <f t="shared" si="124"/>
        <v>0</v>
      </c>
      <c r="T279">
        <f t="shared" si="125"/>
        <v>0</v>
      </c>
      <c r="U279">
        <f t="shared" si="126"/>
        <v>0</v>
      </c>
      <c r="V279">
        <f t="shared" si="127"/>
        <v>0</v>
      </c>
    </row>
    <row r="281" spans="1:22" x14ac:dyDescent="0.25">
      <c r="A281" s="8" t="s">
        <v>273</v>
      </c>
      <c r="B281" s="8" t="s">
        <v>273</v>
      </c>
      <c r="C281" s="8" t="s">
        <v>273</v>
      </c>
      <c r="D281" s="8" t="s">
        <v>273</v>
      </c>
      <c r="E281" s="8" t="s">
        <v>273</v>
      </c>
      <c r="F281" s="8" t="s">
        <v>273</v>
      </c>
      <c r="G281" s="8" t="s">
        <v>273</v>
      </c>
      <c r="H281" s="8" t="s">
        <v>273</v>
      </c>
      <c r="I281" s="8" t="s">
        <v>273</v>
      </c>
      <c r="J281" s="8" t="s">
        <v>273</v>
      </c>
      <c r="K281" s="8" t="s">
        <v>273</v>
      </c>
      <c r="L281" s="8" t="s">
        <v>273</v>
      </c>
      <c r="M281" s="8" t="s">
        <v>273</v>
      </c>
      <c r="N281" s="8" t="s">
        <v>273</v>
      </c>
      <c r="O281" s="8" t="s">
        <v>273</v>
      </c>
      <c r="P281" s="8" t="s">
        <v>273</v>
      </c>
      <c r="Q281" s="8" t="s">
        <v>273</v>
      </c>
      <c r="R281" s="8" t="s">
        <v>273</v>
      </c>
      <c r="S281" s="8" t="s">
        <v>273</v>
      </c>
      <c r="T281" s="8" t="s">
        <v>273</v>
      </c>
      <c r="U281" s="8" t="s">
        <v>273</v>
      </c>
      <c r="V281" s="8" t="s">
        <v>273</v>
      </c>
    </row>
    <row r="282" spans="1:22" x14ac:dyDescent="0.25">
      <c r="A282" t="s">
        <v>274</v>
      </c>
      <c r="B282">
        <v>0</v>
      </c>
      <c r="C282">
        <v>0</v>
      </c>
      <c r="D282">
        <f t="shared" ref="D282:D293" si="128">B282+C282</f>
        <v>0</v>
      </c>
      <c r="E282">
        <v>0</v>
      </c>
      <c r="F282">
        <v>0</v>
      </c>
      <c r="G282">
        <f t="shared" ref="G282:G293" si="129">E282+F282</f>
        <v>0</v>
      </c>
      <c r="H282">
        <v>0</v>
      </c>
      <c r="I282">
        <v>0</v>
      </c>
      <c r="J282">
        <f t="shared" ref="J282:J293" si="130">H282+I282</f>
        <v>0</v>
      </c>
      <c r="K282">
        <f t="shared" ref="K282:K293" si="131">E282 + H282</f>
        <v>0</v>
      </c>
      <c r="L282">
        <f t="shared" ref="L282:L293" si="132">F282 + I282</f>
        <v>0</v>
      </c>
      <c r="M282">
        <f t="shared" ref="M282:M293" si="133">K282 + L282</f>
        <v>0</v>
      </c>
      <c r="N282">
        <f>IF(K336&gt;0,ROUND((K282/K336) * 100, 4), "")</f>
        <v>0</v>
      </c>
      <c r="O282">
        <f>IF(L336&gt;0,ROUND((L282/L336) * 100, 4), "")</f>
        <v>0</v>
      </c>
      <c r="P282">
        <f>IF(M336&gt;0,ROUND((M282/M336) * 100, 4), "")</f>
        <v>0</v>
      </c>
      <c r="Q282">
        <v>0</v>
      </c>
      <c r="R282">
        <v>0</v>
      </c>
      <c r="S282">
        <f t="shared" ref="S282:S293" si="134">Q282 + R282</f>
        <v>0</v>
      </c>
      <c r="T282">
        <f t="shared" ref="T282:T293" si="135">B282 + K282 - Q282</f>
        <v>0</v>
      </c>
      <c r="U282">
        <f t="shared" ref="U282:U293" si="136">C282 + L282 - R282</f>
        <v>0</v>
      </c>
      <c r="V282">
        <f t="shared" ref="V282:V293" si="137">T282 + U282</f>
        <v>0</v>
      </c>
    </row>
    <row r="283" spans="1:22" x14ac:dyDescent="0.25">
      <c r="A283" t="s">
        <v>275</v>
      </c>
      <c r="B283">
        <v>0</v>
      </c>
      <c r="C283">
        <v>0</v>
      </c>
      <c r="D283">
        <f t="shared" si="128"/>
        <v>0</v>
      </c>
      <c r="E283">
        <v>0</v>
      </c>
      <c r="F283">
        <v>0</v>
      </c>
      <c r="G283">
        <f t="shared" si="129"/>
        <v>0</v>
      </c>
      <c r="H283">
        <v>0</v>
      </c>
      <c r="I283">
        <v>0</v>
      </c>
      <c r="J283">
        <f t="shared" si="130"/>
        <v>0</v>
      </c>
      <c r="K283">
        <f t="shared" si="131"/>
        <v>0</v>
      </c>
      <c r="L283">
        <f t="shared" si="132"/>
        <v>0</v>
      </c>
      <c r="M283">
        <f t="shared" si="133"/>
        <v>0</v>
      </c>
      <c r="N283">
        <f>IF(K336&gt;0,ROUND((K283/K336) * 100, 4), "")</f>
        <v>0</v>
      </c>
      <c r="O283">
        <f>IF(L336&gt;0,ROUND((L283/L336) * 100, 4), "")</f>
        <v>0</v>
      </c>
      <c r="P283">
        <f>IF(M336&gt;0,ROUND((M283/M336) * 100, 4), "")</f>
        <v>0</v>
      </c>
      <c r="Q283">
        <v>0</v>
      </c>
      <c r="R283">
        <v>0</v>
      </c>
      <c r="S283">
        <f t="shared" si="134"/>
        <v>0</v>
      </c>
      <c r="T283">
        <f t="shared" si="135"/>
        <v>0</v>
      </c>
      <c r="U283">
        <f t="shared" si="136"/>
        <v>0</v>
      </c>
      <c r="V283">
        <f t="shared" si="137"/>
        <v>0</v>
      </c>
    </row>
    <row r="284" spans="1:22" x14ac:dyDescent="0.25">
      <c r="A284" t="s">
        <v>276</v>
      </c>
      <c r="B284">
        <v>0</v>
      </c>
      <c r="C284">
        <v>0</v>
      </c>
      <c r="D284">
        <f t="shared" si="128"/>
        <v>0</v>
      </c>
      <c r="E284">
        <v>0</v>
      </c>
      <c r="F284">
        <v>3</v>
      </c>
      <c r="G284">
        <f t="shared" si="129"/>
        <v>3</v>
      </c>
      <c r="H284">
        <v>0</v>
      </c>
      <c r="I284">
        <v>0</v>
      </c>
      <c r="J284">
        <f t="shared" si="130"/>
        <v>0</v>
      </c>
      <c r="K284">
        <f t="shared" si="131"/>
        <v>0</v>
      </c>
      <c r="L284">
        <f t="shared" si="132"/>
        <v>3</v>
      </c>
      <c r="M284">
        <f t="shared" si="133"/>
        <v>3</v>
      </c>
      <c r="N284">
        <f>IF(K336&gt;0,ROUND((K284/K336) * 100, 4), "")</f>
        <v>0</v>
      </c>
      <c r="O284">
        <f>IF(L336&gt;0,ROUND((L284/L336) * 100, 4), "")</f>
        <v>3.32E-2</v>
      </c>
      <c r="P284">
        <f>IF(M336&gt;0,ROUND((M284/M336) * 100, 4), "")</f>
        <v>8.6E-3</v>
      </c>
      <c r="Q284">
        <v>0</v>
      </c>
      <c r="R284">
        <v>3</v>
      </c>
      <c r="S284">
        <f t="shared" si="134"/>
        <v>3</v>
      </c>
      <c r="T284">
        <f t="shared" si="135"/>
        <v>0</v>
      </c>
      <c r="U284">
        <f t="shared" si="136"/>
        <v>0</v>
      </c>
      <c r="V284">
        <f t="shared" si="137"/>
        <v>0</v>
      </c>
    </row>
    <row r="285" spans="1:22" x14ac:dyDescent="0.25">
      <c r="A285" t="s">
        <v>277</v>
      </c>
      <c r="B285">
        <v>10</v>
      </c>
      <c r="C285">
        <v>12</v>
      </c>
      <c r="D285">
        <f t="shared" si="128"/>
        <v>22</v>
      </c>
      <c r="E285">
        <v>84</v>
      </c>
      <c r="F285">
        <v>86</v>
      </c>
      <c r="G285">
        <f t="shared" si="129"/>
        <v>170</v>
      </c>
      <c r="H285">
        <v>6</v>
      </c>
      <c r="I285">
        <v>2</v>
      </c>
      <c r="J285">
        <f t="shared" si="130"/>
        <v>8</v>
      </c>
      <c r="K285">
        <f t="shared" si="131"/>
        <v>90</v>
      </c>
      <c r="L285">
        <f t="shared" si="132"/>
        <v>88</v>
      </c>
      <c r="M285">
        <f t="shared" si="133"/>
        <v>178</v>
      </c>
      <c r="N285">
        <f>IF(K336&gt;0,ROUND((K285/K336) * 100, 4), "")</f>
        <v>0.3493</v>
      </c>
      <c r="O285">
        <f>IF(L336&gt;0,ROUND((L285/L336) * 100, 4), "")</f>
        <v>0.97319999999999995</v>
      </c>
      <c r="P285">
        <f>IF(M336&gt;0,ROUND((M285/M336) * 100, 4), "")</f>
        <v>0.51129999999999998</v>
      </c>
      <c r="Q285">
        <v>92</v>
      </c>
      <c r="R285">
        <v>93</v>
      </c>
      <c r="S285">
        <f t="shared" si="134"/>
        <v>185</v>
      </c>
      <c r="T285">
        <f t="shared" si="135"/>
        <v>8</v>
      </c>
      <c r="U285">
        <f t="shared" si="136"/>
        <v>7</v>
      </c>
      <c r="V285">
        <f t="shared" si="137"/>
        <v>15</v>
      </c>
    </row>
    <row r="286" spans="1:22" x14ac:dyDescent="0.25">
      <c r="A286" t="s">
        <v>278</v>
      </c>
      <c r="B286">
        <v>0</v>
      </c>
      <c r="C286">
        <v>0</v>
      </c>
      <c r="D286">
        <f t="shared" si="128"/>
        <v>0</v>
      </c>
      <c r="E286">
        <v>0</v>
      </c>
      <c r="F286">
        <v>0</v>
      </c>
      <c r="G286">
        <f t="shared" si="129"/>
        <v>0</v>
      </c>
      <c r="H286">
        <v>0</v>
      </c>
      <c r="I286">
        <v>0</v>
      </c>
      <c r="J286">
        <f t="shared" si="130"/>
        <v>0</v>
      </c>
      <c r="K286">
        <f t="shared" si="131"/>
        <v>0</v>
      </c>
      <c r="L286">
        <f t="shared" si="132"/>
        <v>0</v>
      </c>
      <c r="M286">
        <f t="shared" si="133"/>
        <v>0</v>
      </c>
      <c r="N286">
        <f>IF(K336&gt;0,ROUND((K286/K336) * 100, 4), "")</f>
        <v>0</v>
      </c>
      <c r="O286">
        <f>IF(L336&gt;0,ROUND((L286/L336) * 100, 4), "")</f>
        <v>0</v>
      </c>
      <c r="P286">
        <f>IF(M336&gt;0,ROUND((M286/M336) * 100, 4), "")</f>
        <v>0</v>
      </c>
      <c r="Q286">
        <v>0</v>
      </c>
      <c r="R286">
        <v>0</v>
      </c>
      <c r="S286">
        <f t="shared" si="134"/>
        <v>0</v>
      </c>
      <c r="T286">
        <f t="shared" si="135"/>
        <v>0</v>
      </c>
      <c r="U286">
        <f t="shared" si="136"/>
        <v>0</v>
      </c>
      <c r="V286">
        <f t="shared" si="137"/>
        <v>0</v>
      </c>
    </row>
    <row r="287" spans="1:22" x14ac:dyDescent="0.25">
      <c r="A287" t="s">
        <v>279</v>
      </c>
      <c r="B287">
        <v>0</v>
      </c>
      <c r="C287">
        <v>0</v>
      </c>
      <c r="D287">
        <f t="shared" si="128"/>
        <v>0</v>
      </c>
      <c r="E287">
        <v>0</v>
      </c>
      <c r="F287">
        <v>0</v>
      </c>
      <c r="G287">
        <f t="shared" si="129"/>
        <v>0</v>
      </c>
      <c r="H287">
        <v>0</v>
      </c>
      <c r="I287">
        <v>0</v>
      </c>
      <c r="J287">
        <f t="shared" si="130"/>
        <v>0</v>
      </c>
      <c r="K287">
        <f t="shared" si="131"/>
        <v>0</v>
      </c>
      <c r="L287">
        <f t="shared" si="132"/>
        <v>0</v>
      </c>
      <c r="M287">
        <f t="shared" si="133"/>
        <v>0</v>
      </c>
      <c r="N287">
        <f>IF(K336&gt;0,ROUND((K287/K336) * 100, 4), "")</f>
        <v>0</v>
      </c>
      <c r="O287">
        <f>IF(L336&gt;0,ROUND((L287/L336) * 100, 4), "")</f>
        <v>0</v>
      </c>
      <c r="P287">
        <f>IF(M336&gt;0,ROUND((M287/M336) * 100, 4), "")</f>
        <v>0</v>
      </c>
      <c r="Q287">
        <v>0</v>
      </c>
      <c r="R287">
        <v>0</v>
      </c>
      <c r="S287">
        <f t="shared" si="134"/>
        <v>0</v>
      </c>
      <c r="T287">
        <f t="shared" si="135"/>
        <v>0</v>
      </c>
      <c r="U287">
        <f t="shared" si="136"/>
        <v>0</v>
      </c>
      <c r="V287">
        <f t="shared" si="137"/>
        <v>0</v>
      </c>
    </row>
    <row r="288" spans="1:22" x14ac:dyDescent="0.25">
      <c r="A288" t="s">
        <v>280</v>
      </c>
      <c r="B288">
        <v>0</v>
      </c>
      <c r="C288">
        <v>0</v>
      </c>
      <c r="D288">
        <f t="shared" si="128"/>
        <v>0</v>
      </c>
      <c r="E288">
        <v>0</v>
      </c>
      <c r="F288">
        <v>0</v>
      </c>
      <c r="G288">
        <f t="shared" si="129"/>
        <v>0</v>
      </c>
      <c r="H288">
        <v>0</v>
      </c>
      <c r="I288">
        <v>0</v>
      </c>
      <c r="J288">
        <f t="shared" si="130"/>
        <v>0</v>
      </c>
      <c r="K288">
        <f t="shared" si="131"/>
        <v>0</v>
      </c>
      <c r="L288">
        <f t="shared" si="132"/>
        <v>0</v>
      </c>
      <c r="M288">
        <f t="shared" si="133"/>
        <v>0</v>
      </c>
      <c r="N288">
        <f>IF(K336&gt;0,ROUND((K288/K336) * 100, 4), "")</f>
        <v>0</v>
      </c>
      <c r="O288">
        <f>IF(L336&gt;0,ROUND((L288/L336) * 100, 4), "")</f>
        <v>0</v>
      </c>
      <c r="P288">
        <f>IF(M336&gt;0,ROUND((M288/M336) * 100, 4), "")</f>
        <v>0</v>
      </c>
      <c r="Q288">
        <v>0</v>
      </c>
      <c r="R288">
        <v>0</v>
      </c>
      <c r="S288">
        <f t="shared" si="134"/>
        <v>0</v>
      </c>
      <c r="T288">
        <f t="shared" si="135"/>
        <v>0</v>
      </c>
      <c r="U288">
        <f t="shared" si="136"/>
        <v>0</v>
      </c>
      <c r="V288">
        <f t="shared" si="137"/>
        <v>0</v>
      </c>
    </row>
    <row r="289" spans="1:22" x14ac:dyDescent="0.25">
      <c r="A289" t="s">
        <v>281</v>
      </c>
      <c r="B289">
        <v>0</v>
      </c>
      <c r="C289">
        <v>1</v>
      </c>
      <c r="D289">
        <f t="shared" si="128"/>
        <v>1</v>
      </c>
      <c r="E289">
        <v>3</v>
      </c>
      <c r="F289">
        <v>0</v>
      </c>
      <c r="G289">
        <f t="shared" si="129"/>
        <v>3</v>
      </c>
      <c r="H289">
        <v>0</v>
      </c>
      <c r="I289">
        <v>0</v>
      </c>
      <c r="J289">
        <f t="shared" si="130"/>
        <v>0</v>
      </c>
      <c r="K289">
        <f t="shared" si="131"/>
        <v>3</v>
      </c>
      <c r="L289">
        <f t="shared" si="132"/>
        <v>0</v>
      </c>
      <c r="M289">
        <f t="shared" si="133"/>
        <v>3</v>
      </c>
      <c r="N289">
        <f>IF(K336&gt;0,ROUND((K289/K336) * 100, 4), "")</f>
        <v>1.1599999999999999E-2</v>
      </c>
      <c r="O289">
        <f>IF(L336&gt;0,ROUND((L289/L336) * 100, 4), "")</f>
        <v>0</v>
      </c>
      <c r="P289">
        <f>IF(M336&gt;0,ROUND((M289/M336) * 100, 4), "")</f>
        <v>8.6E-3</v>
      </c>
      <c r="Q289">
        <v>3</v>
      </c>
      <c r="R289">
        <v>1</v>
      </c>
      <c r="S289">
        <f t="shared" si="134"/>
        <v>4</v>
      </c>
      <c r="T289">
        <f t="shared" si="135"/>
        <v>0</v>
      </c>
      <c r="U289">
        <f t="shared" si="136"/>
        <v>0</v>
      </c>
      <c r="V289">
        <f t="shared" si="137"/>
        <v>0</v>
      </c>
    </row>
    <row r="290" spans="1:22" x14ac:dyDescent="0.25">
      <c r="A290" t="s">
        <v>282</v>
      </c>
      <c r="B290">
        <v>0</v>
      </c>
      <c r="C290">
        <v>0</v>
      </c>
      <c r="D290">
        <f t="shared" si="128"/>
        <v>0</v>
      </c>
      <c r="E290">
        <v>0</v>
      </c>
      <c r="F290">
        <v>0</v>
      </c>
      <c r="G290">
        <f t="shared" si="129"/>
        <v>0</v>
      </c>
      <c r="H290">
        <v>0</v>
      </c>
      <c r="I290">
        <v>0</v>
      </c>
      <c r="J290">
        <f t="shared" si="130"/>
        <v>0</v>
      </c>
      <c r="K290">
        <f t="shared" si="131"/>
        <v>0</v>
      </c>
      <c r="L290">
        <f t="shared" si="132"/>
        <v>0</v>
      </c>
      <c r="M290">
        <f t="shared" si="133"/>
        <v>0</v>
      </c>
      <c r="N290">
        <f>IF(K336&gt;0,ROUND((K290/K336) * 100, 4), "")</f>
        <v>0</v>
      </c>
      <c r="O290">
        <f>IF(L336&gt;0,ROUND((L290/L336) * 100, 4), "")</f>
        <v>0</v>
      </c>
      <c r="P290">
        <f>IF(M336&gt;0,ROUND((M290/M336) * 100, 4), "")</f>
        <v>0</v>
      </c>
      <c r="Q290">
        <v>0</v>
      </c>
      <c r="R290">
        <v>0</v>
      </c>
      <c r="S290">
        <f t="shared" si="134"/>
        <v>0</v>
      </c>
      <c r="T290">
        <f t="shared" si="135"/>
        <v>0</v>
      </c>
      <c r="U290">
        <f t="shared" si="136"/>
        <v>0</v>
      </c>
      <c r="V290">
        <f t="shared" si="137"/>
        <v>0</v>
      </c>
    </row>
    <row r="291" spans="1:22" x14ac:dyDescent="0.25">
      <c r="A291" t="s">
        <v>283</v>
      </c>
      <c r="B291">
        <v>673</v>
      </c>
      <c r="C291">
        <v>159</v>
      </c>
      <c r="D291">
        <f t="shared" si="128"/>
        <v>832</v>
      </c>
      <c r="E291">
        <v>2147</v>
      </c>
      <c r="F291">
        <v>412</v>
      </c>
      <c r="G291">
        <f t="shared" si="129"/>
        <v>2559</v>
      </c>
      <c r="H291">
        <v>24</v>
      </c>
      <c r="I291">
        <v>3</v>
      </c>
      <c r="J291">
        <f t="shared" si="130"/>
        <v>27</v>
      </c>
      <c r="K291">
        <f t="shared" si="131"/>
        <v>2171</v>
      </c>
      <c r="L291">
        <f t="shared" si="132"/>
        <v>415</v>
      </c>
      <c r="M291">
        <f t="shared" si="133"/>
        <v>2586</v>
      </c>
      <c r="N291">
        <f>IF(K336&gt;0,ROUND((K291/K336) * 100, 4), "")</f>
        <v>8.4252000000000002</v>
      </c>
      <c r="O291">
        <f>IF(L336&gt;0,ROUND((L291/L336) * 100, 4), "")</f>
        <v>4.5896999999999997</v>
      </c>
      <c r="P291">
        <f>IF(M336&gt;0,ROUND((M291/M336) * 100, 4), "")</f>
        <v>7.4288999999999996</v>
      </c>
      <c r="Q291">
        <v>2359</v>
      </c>
      <c r="R291">
        <v>352</v>
      </c>
      <c r="S291">
        <f t="shared" si="134"/>
        <v>2711</v>
      </c>
      <c r="T291">
        <f t="shared" si="135"/>
        <v>485</v>
      </c>
      <c r="U291">
        <f t="shared" si="136"/>
        <v>222</v>
      </c>
      <c r="V291">
        <f t="shared" si="137"/>
        <v>707</v>
      </c>
    </row>
    <row r="292" spans="1:22" x14ac:dyDescent="0.25">
      <c r="A292" t="s">
        <v>284</v>
      </c>
      <c r="B292">
        <v>16</v>
      </c>
      <c r="C292">
        <v>4</v>
      </c>
      <c r="D292">
        <f t="shared" si="128"/>
        <v>20</v>
      </c>
      <c r="E292">
        <v>199</v>
      </c>
      <c r="F292">
        <v>61</v>
      </c>
      <c r="G292">
        <f t="shared" si="129"/>
        <v>260</v>
      </c>
      <c r="H292">
        <v>15</v>
      </c>
      <c r="I292">
        <v>1</v>
      </c>
      <c r="J292">
        <f t="shared" si="130"/>
        <v>16</v>
      </c>
      <c r="K292">
        <f t="shared" si="131"/>
        <v>214</v>
      </c>
      <c r="L292">
        <f t="shared" si="132"/>
        <v>62</v>
      </c>
      <c r="M292">
        <f t="shared" si="133"/>
        <v>276</v>
      </c>
      <c r="N292">
        <f>IF(K336&gt;0,ROUND((K292/K336) * 100, 4), "")</f>
        <v>0.83050000000000002</v>
      </c>
      <c r="O292">
        <f>IF(L336&gt;0,ROUND((L292/L336) * 100, 4), "")</f>
        <v>0.68569999999999998</v>
      </c>
      <c r="P292">
        <f>IF(M336&gt;0,ROUND((M292/M336) * 100, 4), "")</f>
        <v>0.79290000000000005</v>
      </c>
      <c r="Q292">
        <v>207</v>
      </c>
      <c r="R292">
        <v>54</v>
      </c>
      <c r="S292">
        <f t="shared" si="134"/>
        <v>261</v>
      </c>
      <c r="T292">
        <f t="shared" si="135"/>
        <v>23</v>
      </c>
      <c r="U292">
        <f t="shared" si="136"/>
        <v>12</v>
      </c>
      <c r="V292">
        <f t="shared" si="137"/>
        <v>35</v>
      </c>
    </row>
    <row r="293" spans="1:22" x14ac:dyDescent="0.25">
      <c r="A293" t="s">
        <v>285</v>
      </c>
      <c r="B293">
        <v>748</v>
      </c>
      <c r="C293">
        <v>150</v>
      </c>
      <c r="D293">
        <f t="shared" si="128"/>
        <v>898</v>
      </c>
      <c r="E293">
        <v>4367</v>
      </c>
      <c r="F293">
        <v>189</v>
      </c>
      <c r="G293">
        <f t="shared" si="129"/>
        <v>4556</v>
      </c>
      <c r="H293">
        <v>8</v>
      </c>
      <c r="I293">
        <v>1</v>
      </c>
      <c r="J293">
        <f t="shared" si="130"/>
        <v>9</v>
      </c>
      <c r="K293">
        <f t="shared" si="131"/>
        <v>4375</v>
      </c>
      <c r="L293">
        <f t="shared" si="132"/>
        <v>190</v>
      </c>
      <c r="M293">
        <f t="shared" si="133"/>
        <v>4565</v>
      </c>
      <c r="N293">
        <f>IF(K336&gt;0,ROUND((K293/K336) * 100, 4), "")</f>
        <v>16.978400000000001</v>
      </c>
      <c r="O293">
        <f>IF(L336&gt;0,ROUND((L293/L336) * 100, 4), "")</f>
        <v>2.1013000000000002</v>
      </c>
      <c r="P293">
        <f>IF(M336&gt;0,ROUND((M293/M336) * 100, 4), "")</f>
        <v>13.114000000000001</v>
      </c>
      <c r="Q293">
        <v>4322</v>
      </c>
      <c r="R293">
        <v>174</v>
      </c>
      <c r="S293">
        <f t="shared" si="134"/>
        <v>4496</v>
      </c>
      <c r="T293">
        <f t="shared" si="135"/>
        <v>801</v>
      </c>
      <c r="U293">
        <f t="shared" si="136"/>
        <v>166</v>
      </c>
      <c r="V293">
        <f t="shared" si="137"/>
        <v>967</v>
      </c>
    </row>
    <row r="295" spans="1:22" x14ac:dyDescent="0.25">
      <c r="A295" s="8" t="s">
        <v>286</v>
      </c>
      <c r="B295" s="8" t="s">
        <v>286</v>
      </c>
      <c r="C295" s="8" t="s">
        <v>286</v>
      </c>
      <c r="D295" s="8" t="s">
        <v>286</v>
      </c>
      <c r="E295" s="8" t="s">
        <v>286</v>
      </c>
      <c r="F295" s="8" t="s">
        <v>286</v>
      </c>
      <c r="G295" s="8" t="s">
        <v>286</v>
      </c>
      <c r="H295" s="8" t="s">
        <v>286</v>
      </c>
      <c r="I295" s="8" t="s">
        <v>286</v>
      </c>
      <c r="J295" s="8" t="s">
        <v>286</v>
      </c>
      <c r="K295" s="8" t="s">
        <v>286</v>
      </c>
      <c r="L295" s="8" t="s">
        <v>286</v>
      </c>
      <c r="M295" s="8" t="s">
        <v>286</v>
      </c>
      <c r="N295" s="8" t="s">
        <v>286</v>
      </c>
      <c r="O295" s="8" t="s">
        <v>286</v>
      </c>
      <c r="P295" s="8" t="s">
        <v>286</v>
      </c>
      <c r="Q295" s="8" t="s">
        <v>286</v>
      </c>
      <c r="R295" s="8" t="s">
        <v>286</v>
      </c>
      <c r="S295" s="8" t="s">
        <v>286</v>
      </c>
      <c r="T295" s="8" t="s">
        <v>286</v>
      </c>
      <c r="U295" s="8" t="s">
        <v>286</v>
      </c>
      <c r="V295" s="8" t="s">
        <v>286</v>
      </c>
    </row>
    <row r="296" spans="1:22" x14ac:dyDescent="0.25">
      <c r="A296" t="s">
        <v>287</v>
      </c>
      <c r="B296">
        <v>0</v>
      </c>
      <c r="C296">
        <v>0</v>
      </c>
      <c r="D296">
        <f t="shared" ref="D296:D327" si="138">B296+C296</f>
        <v>0</v>
      </c>
      <c r="E296">
        <v>0</v>
      </c>
      <c r="F296">
        <v>4</v>
      </c>
      <c r="G296">
        <f t="shared" ref="G296:G327" si="139">E296+F296</f>
        <v>4</v>
      </c>
      <c r="H296">
        <v>0</v>
      </c>
      <c r="I296">
        <v>0</v>
      </c>
      <c r="J296">
        <f t="shared" ref="J296:J327" si="140">H296+I296</f>
        <v>0</v>
      </c>
      <c r="K296">
        <f t="shared" ref="K296:K327" si="141">E296 + H296</f>
        <v>0</v>
      </c>
      <c r="L296">
        <f t="shared" ref="L296:L327" si="142">F296 + I296</f>
        <v>4</v>
      </c>
      <c r="M296">
        <f t="shared" ref="M296:M327" si="143">K296 + L296</f>
        <v>4</v>
      </c>
      <c r="N296">
        <f>IF(K336&gt;0,ROUND((K296/K336) * 100, 4), "")</f>
        <v>0</v>
      </c>
      <c r="O296">
        <f>IF(L336&gt;0,ROUND((L296/L336) * 100, 4), "")</f>
        <v>4.4200000000000003E-2</v>
      </c>
      <c r="P296">
        <f>IF(M336&gt;0,ROUND((M296/M336) * 100, 4), "")</f>
        <v>1.15E-2</v>
      </c>
      <c r="Q296">
        <v>0</v>
      </c>
      <c r="R296">
        <v>3</v>
      </c>
      <c r="S296">
        <f t="shared" ref="S296:S327" si="144">Q296 + R296</f>
        <v>3</v>
      </c>
      <c r="T296">
        <f t="shared" ref="T296:T327" si="145">B296 + K296 - Q296</f>
        <v>0</v>
      </c>
      <c r="U296">
        <f t="shared" ref="U296:U327" si="146">C296 + L296 - R296</f>
        <v>1</v>
      </c>
      <c r="V296">
        <f t="shared" ref="V296:V327" si="147">T296 + U296</f>
        <v>1</v>
      </c>
    </row>
    <row r="297" spans="1:22" x14ac:dyDescent="0.25">
      <c r="A297" t="s">
        <v>288</v>
      </c>
      <c r="B297">
        <v>0</v>
      </c>
      <c r="C297">
        <v>0</v>
      </c>
      <c r="D297">
        <f t="shared" si="138"/>
        <v>0</v>
      </c>
      <c r="E297">
        <v>1</v>
      </c>
      <c r="F297">
        <v>8</v>
      </c>
      <c r="G297">
        <f t="shared" si="139"/>
        <v>9</v>
      </c>
      <c r="H297">
        <v>0</v>
      </c>
      <c r="I297">
        <v>0</v>
      </c>
      <c r="J297">
        <f t="shared" si="140"/>
        <v>0</v>
      </c>
      <c r="K297">
        <f t="shared" si="141"/>
        <v>1</v>
      </c>
      <c r="L297">
        <f t="shared" si="142"/>
        <v>8</v>
      </c>
      <c r="M297">
        <f t="shared" si="143"/>
        <v>9</v>
      </c>
      <c r="N297">
        <f>IF(K336&gt;0,ROUND((K297/K336) * 100, 4), "")</f>
        <v>3.8999999999999998E-3</v>
      </c>
      <c r="O297">
        <f>IF(L336&gt;0,ROUND((L297/L336) * 100, 4), "")</f>
        <v>8.8499999999999995E-2</v>
      </c>
      <c r="P297">
        <f>IF(M336&gt;0,ROUND((M297/M336) * 100, 4), "")</f>
        <v>2.5899999999999999E-2</v>
      </c>
      <c r="Q297">
        <v>1</v>
      </c>
      <c r="R297">
        <v>6</v>
      </c>
      <c r="S297">
        <f t="shared" si="144"/>
        <v>7</v>
      </c>
      <c r="T297">
        <f t="shared" si="145"/>
        <v>0</v>
      </c>
      <c r="U297">
        <f t="shared" si="146"/>
        <v>2</v>
      </c>
      <c r="V297">
        <f t="shared" si="147"/>
        <v>2</v>
      </c>
    </row>
    <row r="298" spans="1:22" x14ac:dyDescent="0.25">
      <c r="A298" t="s">
        <v>289</v>
      </c>
      <c r="B298">
        <v>0</v>
      </c>
      <c r="C298">
        <v>0</v>
      </c>
      <c r="D298">
        <f t="shared" si="138"/>
        <v>0</v>
      </c>
      <c r="E298">
        <v>0</v>
      </c>
      <c r="F298">
        <v>0</v>
      </c>
      <c r="G298">
        <f t="shared" si="139"/>
        <v>0</v>
      </c>
      <c r="H298">
        <v>0</v>
      </c>
      <c r="I298">
        <v>0</v>
      </c>
      <c r="J298">
        <f t="shared" si="140"/>
        <v>0</v>
      </c>
      <c r="K298">
        <f t="shared" si="141"/>
        <v>0</v>
      </c>
      <c r="L298">
        <f t="shared" si="142"/>
        <v>0</v>
      </c>
      <c r="M298">
        <f t="shared" si="143"/>
        <v>0</v>
      </c>
      <c r="N298">
        <f>IF(K336&gt;0,ROUND((K298/K336) * 100, 4), "")</f>
        <v>0</v>
      </c>
      <c r="O298">
        <f>IF(L336&gt;0,ROUND((L298/L336) * 100, 4), "")</f>
        <v>0</v>
      </c>
      <c r="P298">
        <f>IF(M336&gt;0,ROUND((M298/M336) * 100, 4), "")</f>
        <v>0</v>
      </c>
      <c r="Q298">
        <v>0</v>
      </c>
      <c r="R298">
        <v>0</v>
      </c>
      <c r="S298">
        <f t="shared" si="144"/>
        <v>0</v>
      </c>
      <c r="T298">
        <f t="shared" si="145"/>
        <v>0</v>
      </c>
      <c r="U298">
        <f t="shared" si="146"/>
        <v>0</v>
      </c>
      <c r="V298">
        <f t="shared" si="147"/>
        <v>0</v>
      </c>
    </row>
    <row r="299" spans="1:22" x14ac:dyDescent="0.25">
      <c r="A299" t="s">
        <v>290</v>
      </c>
      <c r="B299">
        <v>0</v>
      </c>
      <c r="C299">
        <v>0</v>
      </c>
      <c r="D299">
        <f t="shared" si="138"/>
        <v>0</v>
      </c>
      <c r="E299">
        <v>0</v>
      </c>
      <c r="F299">
        <v>0</v>
      </c>
      <c r="G299">
        <f t="shared" si="139"/>
        <v>0</v>
      </c>
      <c r="H299">
        <v>0</v>
      </c>
      <c r="I299">
        <v>0</v>
      </c>
      <c r="J299">
        <f t="shared" si="140"/>
        <v>0</v>
      </c>
      <c r="K299">
        <f t="shared" si="141"/>
        <v>0</v>
      </c>
      <c r="L299">
        <f t="shared" si="142"/>
        <v>0</v>
      </c>
      <c r="M299">
        <f t="shared" si="143"/>
        <v>0</v>
      </c>
      <c r="N299">
        <f>IF(K336&gt;0,ROUND((K299/K336) * 100, 4), "")</f>
        <v>0</v>
      </c>
      <c r="O299">
        <f>IF(L336&gt;0,ROUND((L299/L336) * 100, 4), "")</f>
        <v>0</v>
      </c>
      <c r="P299">
        <f>IF(M336&gt;0,ROUND((M299/M336) * 100, 4), "")</f>
        <v>0</v>
      </c>
      <c r="Q299">
        <v>0</v>
      </c>
      <c r="R299">
        <v>0</v>
      </c>
      <c r="S299">
        <f t="shared" si="144"/>
        <v>0</v>
      </c>
      <c r="T299">
        <f t="shared" si="145"/>
        <v>0</v>
      </c>
      <c r="U299">
        <f t="shared" si="146"/>
        <v>0</v>
      </c>
      <c r="V299">
        <f t="shared" si="147"/>
        <v>0</v>
      </c>
    </row>
    <row r="300" spans="1:22" x14ac:dyDescent="0.25">
      <c r="A300" t="s">
        <v>291</v>
      </c>
      <c r="B300">
        <v>0</v>
      </c>
      <c r="C300">
        <v>1</v>
      </c>
      <c r="D300">
        <f t="shared" si="138"/>
        <v>1</v>
      </c>
      <c r="E300">
        <v>17</v>
      </c>
      <c r="F300">
        <v>44</v>
      </c>
      <c r="G300">
        <f t="shared" si="139"/>
        <v>61</v>
      </c>
      <c r="H300">
        <v>0</v>
      </c>
      <c r="I300">
        <v>1</v>
      </c>
      <c r="J300">
        <f t="shared" si="140"/>
        <v>1</v>
      </c>
      <c r="K300">
        <f t="shared" si="141"/>
        <v>17</v>
      </c>
      <c r="L300">
        <f t="shared" si="142"/>
        <v>45</v>
      </c>
      <c r="M300">
        <f t="shared" si="143"/>
        <v>62</v>
      </c>
      <c r="N300">
        <f>IF(K336&gt;0,ROUND((K300/K336) * 100, 4), "")</f>
        <v>6.6000000000000003E-2</v>
      </c>
      <c r="O300">
        <f>IF(L336&gt;0,ROUND((L300/L336) * 100, 4), "")</f>
        <v>0.49769999999999998</v>
      </c>
      <c r="P300">
        <f>IF(M336&gt;0,ROUND((M300/M336) * 100, 4), "")</f>
        <v>0.17810000000000001</v>
      </c>
      <c r="Q300">
        <v>3</v>
      </c>
      <c r="R300">
        <v>22</v>
      </c>
      <c r="S300">
        <f t="shared" si="144"/>
        <v>25</v>
      </c>
      <c r="T300">
        <f t="shared" si="145"/>
        <v>14</v>
      </c>
      <c r="U300">
        <f t="shared" si="146"/>
        <v>24</v>
      </c>
      <c r="V300">
        <f t="shared" si="147"/>
        <v>38</v>
      </c>
    </row>
    <row r="301" spans="1:22" x14ac:dyDescent="0.25">
      <c r="A301" t="s">
        <v>292</v>
      </c>
      <c r="B301">
        <v>1</v>
      </c>
      <c r="C301">
        <v>2</v>
      </c>
      <c r="D301">
        <f t="shared" si="138"/>
        <v>3</v>
      </c>
      <c r="E301">
        <v>0</v>
      </c>
      <c r="F301">
        <v>31</v>
      </c>
      <c r="G301">
        <f t="shared" si="139"/>
        <v>31</v>
      </c>
      <c r="H301">
        <v>0</v>
      </c>
      <c r="I301">
        <v>0</v>
      </c>
      <c r="J301">
        <f t="shared" si="140"/>
        <v>0</v>
      </c>
      <c r="K301">
        <f t="shared" si="141"/>
        <v>0</v>
      </c>
      <c r="L301">
        <f t="shared" si="142"/>
        <v>31</v>
      </c>
      <c r="M301">
        <f t="shared" si="143"/>
        <v>31</v>
      </c>
      <c r="N301">
        <f>IF(K336&gt;0,ROUND((K301/K336) * 100, 4), "")</f>
        <v>0</v>
      </c>
      <c r="O301">
        <f>IF(L336&gt;0,ROUND((L301/L336) * 100, 4), "")</f>
        <v>0.34279999999999999</v>
      </c>
      <c r="P301">
        <f>IF(M336&gt;0,ROUND((M301/M336) * 100, 4), "")</f>
        <v>8.9099999999999999E-2</v>
      </c>
      <c r="Q301">
        <v>1</v>
      </c>
      <c r="R301">
        <v>30</v>
      </c>
      <c r="S301">
        <f t="shared" si="144"/>
        <v>31</v>
      </c>
      <c r="T301">
        <f t="shared" si="145"/>
        <v>0</v>
      </c>
      <c r="U301">
        <f t="shared" si="146"/>
        <v>3</v>
      </c>
      <c r="V301">
        <f t="shared" si="147"/>
        <v>3</v>
      </c>
    </row>
    <row r="302" spans="1:22" x14ac:dyDescent="0.25">
      <c r="A302" t="s">
        <v>293</v>
      </c>
      <c r="B302">
        <v>0</v>
      </c>
      <c r="C302">
        <v>14</v>
      </c>
      <c r="D302">
        <f t="shared" si="138"/>
        <v>14</v>
      </c>
      <c r="E302">
        <v>4</v>
      </c>
      <c r="F302">
        <v>89</v>
      </c>
      <c r="G302">
        <f t="shared" si="139"/>
        <v>93</v>
      </c>
      <c r="H302">
        <v>0</v>
      </c>
      <c r="I302">
        <v>1</v>
      </c>
      <c r="J302">
        <f t="shared" si="140"/>
        <v>1</v>
      </c>
      <c r="K302">
        <f t="shared" si="141"/>
        <v>4</v>
      </c>
      <c r="L302">
        <f t="shared" si="142"/>
        <v>90</v>
      </c>
      <c r="M302">
        <f t="shared" si="143"/>
        <v>94</v>
      </c>
      <c r="N302">
        <f>IF(K336&gt;0,ROUND((K302/K336) * 100, 4), "")</f>
        <v>1.55E-2</v>
      </c>
      <c r="O302">
        <f>IF(L336&gt;0,ROUND((L302/L336) * 100, 4), "")</f>
        <v>0.99539999999999995</v>
      </c>
      <c r="P302">
        <f>IF(M336&gt;0,ROUND((M302/M336) * 100, 4), "")</f>
        <v>0.27</v>
      </c>
      <c r="Q302">
        <v>3</v>
      </c>
      <c r="R302">
        <v>97</v>
      </c>
      <c r="S302">
        <f t="shared" si="144"/>
        <v>100</v>
      </c>
      <c r="T302">
        <f t="shared" si="145"/>
        <v>1</v>
      </c>
      <c r="U302">
        <f t="shared" si="146"/>
        <v>7</v>
      </c>
      <c r="V302">
        <f t="shared" si="147"/>
        <v>8</v>
      </c>
    </row>
    <row r="303" spans="1:22" x14ac:dyDescent="0.25">
      <c r="A303" t="s">
        <v>294</v>
      </c>
      <c r="B303">
        <v>0</v>
      </c>
      <c r="C303">
        <v>0</v>
      </c>
      <c r="D303">
        <f t="shared" si="138"/>
        <v>0</v>
      </c>
      <c r="E303">
        <v>0</v>
      </c>
      <c r="F303">
        <v>0</v>
      </c>
      <c r="G303">
        <f t="shared" si="139"/>
        <v>0</v>
      </c>
      <c r="H303">
        <v>0</v>
      </c>
      <c r="I303">
        <v>0</v>
      </c>
      <c r="J303">
        <f t="shared" si="140"/>
        <v>0</v>
      </c>
      <c r="K303">
        <f t="shared" si="141"/>
        <v>0</v>
      </c>
      <c r="L303">
        <f t="shared" si="142"/>
        <v>0</v>
      </c>
      <c r="M303">
        <f t="shared" si="143"/>
        <v>0</v>
      </c>
      <c r="N303">
        <f>IF(K336&gt;0,ROUND((K303/K336) * 100, 4), "")</f>
        <v>0</v>
      </c>
      <c r="O303">
        <f>IF(L336&gt;0,ROUND((L303/L336) * 100, 4), "")</f>
        <v>0</v>
      </c>
      <c r="P303">
        <f>IF(M336&gt;0,ROUND((M303/M336) * 100, 4), "")</f>
        <v>0</v>
      </c>
      <c r="Q303">
        <v>0</v>
      </c>
      <c r="R303">
        <v>0</v>
      </c>
      <c r="S303">
        <f t="shared" si="144"/>
        <v>0</v>
      </c>
      <c r="T303">
        <f t="shared" si="145"/>
        <v>0</v>
      </c>
      <c r="U303">
        <f t="shared" si="146"/>
        <v>0</v>
      </c>
      <c r="V303">
        <f t="shared" si="147"/>
        <v>0</v>
      </c>
    </row>
    <row r="304" spans="1:22" x14ac:dyDescent="0.25">
      <c r="A304" t="s">
        <v>295</v>
      </c>
      <c r="B304">
        <v>0</v>
      </c>
      <c r="C304">
        <v>0</v>
      </c>
      <c r="D304">
        <f t="shared" si="138"/>
        <v>0</v>
      </c>
      <c r="E304">
        <v>0</v>
      </c>
      <c r="F304">
        <v>0</v>
      </c>
      <c r="G304">
        <f t="shared" si="139"/>
        <v>0</v>
      </c>
      <c r="H304">
        <v>0</v>
      </c>
      <c r="I304">
        <v>0</v>
      </c>
      <c r="J304">
        <f t="shared" si="140"/>
        <v>0</v>
      </c>
      <c r="K304">
        <f t="shared" si="141"/>
        <v>0</v>
      </c>
      <c r="L304">
        <f t="shared" si="142"/>
        <v>0</v>
      </c>
      <c r="M304">
        <f t="shared" si="143"/>
        <v>0</v>
      </c>
      <c r="N304">
        <f>IF(K336&gt;0,ROUND((K304/K336) * 100, 4), "")</f>
        <v>0</v>
      </c>
      <c r="O304">
        <f>IF(L336&gt;0,ROUND((L304/L336) * 100, 4), "")</f>
        <v>0</v>
      </c>
      <c r="P304">
        <f>IF(M336&gt;0,ROUND((M304/M336) * 100, 4), "")</f>
        <v>0</v>
      </c>
      <c r="Q304">
        <v>0</v>
      </c>
      <c r="R304">
        <v>0</v>
      </c>
      <c r="S304">
        <f t="shared" si="144"/>
        <v>0</v>
      </c>
      <c r="T304">
        <f t="shared" si="145"/>
        <v>0</v>
      </c>
      <c r="U304">
        <f t="shared" si="146"/>
        <v>0</v>
      </c>
      <c r="V304">
        <f t="shared" si="147"/>
        <v>0</v>
      </c>
    </row>
    <row r="305" spans="1:22" x14ac:dyDescent="0.25">
      <c r="A305" t="s">
        <v>296</v>
      </c>
      <c r="B305">
        <v>6</v>
      </c>
      <c r="C305">
        <v>0</v>
      </c>
      <c r="D305">
        <f t="shared" si="138"/>
        <v>6</v>
      </c>
      <c r="E305">
        <v>49</v>
      </c>
      <c r="F305">
        <v>11</v>
      </c>
      <c r="G305">
        <f t="shared" si="139"/>
        <v>60</v>
      </c>
      <c r="H305">
        <v>0</v>
      </c>
      <c r="I305">
        <v>0</v>
      </c>
      <c r="J305">
        <f t="shared" si="140"/>
        <v>0</v>
      </c>
      <c r="K305">
        <f t="shared" si="141"/>
        <v>49</v>
      </c>
      <c r="L305">
        <f t="shared" si="142"/>
        <v>11</v>
      </c>
      <c r="M305">
        <f t="shared" si="143"/>
        <v>60</v>
      </c>
      <c r="N305">
        <f>IF(K336&gt;0,ROUND((K305/K336) * 100, 4), "")</f>
        <v>0.19020000000000001</v>
      </c>
      <c r="O305">
        <f>IF(L336&gt;0,ROUND((L305/L336) * 100, 4), "")</f>
        <v>0.1217</v>
      </c>
      <c r="P305">
        <f>IF(M336&gt;0,ROUND((M305/M336) * 100, 4), "")</f>
        <v>0.1724</v>
      </c>
      <c r="Q305">
        <v>50</v>
      </c>
      <c r="R305">
        <v>10</v>
      </c>
      <c r="S305">
        <f t="shared" si="144"/>
        <v>60</v>
      </c>
      <c r="T305">
        <f t="shared" si="145"/>
        <v>5</v>
      </c>
      <c r="U305">
        <f t="shared" si="146"/>
        <v>1</v>
      </c>
      <c r="V305">
        <f t="shared" si="147"/>
        <v>6</v>
      </c>
    </row>
    <row r="306" spans="1:22" x14ac:dyDescent="0.25">
      <c r="A306" t="s">
        <v>297</v>
      </c>
      <c r="B306">
        <v>0</v>
      </c>
      <c r="C306">
        <v>0</v>
      </c>
      <c r="D306">
        <f t="shared" si="138"/>
        <v>0</v>
      </c>
      <c r="E306">
        <v>0</v>
      </c>
      <c r="F306">
        <v>5</v>
      </c>
      <c r="G306">
        <f t="shared" si="139"/>
        <v>5</v>
      </c>
      <c r="H306">
        <v>0</v>
      </c>
      <c r="I306">
        <v>0</v>
      </c>
      <c r="J306">
        <f t="shared" si="140"/>
        <v>0</v>
      </c>
      <c r="K306">
        <f t="shared" si="141"/>
        <v>0</v>
      </c>
      <c r="L306">
        <f t="shared" si="142"/>
        <v>5</v>
      </c>
      <c r="M306">
        <f t="shared" si="143"/>
        <v>5</v>
      </c>
      <c r="N306">
        <f>IF(K336&gt;0,ROUND((K306/K336) * 100, 4), "")</f>
        <v>0</v>
      </c>
      <c r="O306">
        <f>IF(L336&gt;0,ROUND((L306/L336) * 100, 4), "")</f>
        <v>5.5300000000000002E-2</v>
      </c>
      <c r="P306">
        <f>IF(M336&gt;0,ROUND((M306/M336) * 100, 4), "")</f>
        <v>1.44E-2</v>
      </c>
      <c r="Q306">
        <v>0</v>
      </c>
      <c r="R306">
        <v>5</v>
      </c>
      <c r="S306">
        <f t="shared" si="144"/>
        <v>5</v>
      </c>
      <c r="T306">
        <f t="shared" si="145"/>
        <v>0</v>
      </c>
      <c r="U306">
        <f t="shared" si="146"/>
        <v>0</v>
      </c>
      <c r="V306">
        <f t="shared" si="147"/>
        <v>0</v>
      </c>
    </row>
    <row r="307" spans="1:22" x14ac:dyDescent="0.25">
      <c r="A307" t="s">
        <v>298</v>
      </c>
      <c r="B307">
        <v>0</v>
      </c>
      <c r="C307">
        <v>5</v>
      </c>
      <c r="D307">
        <f t="shared" si="138"/>
        <v>5</v>
      </c>
      <c r="E307">
        <v>0</v>
      </c>
      <c r="F307">
        <v>37</v>
      </c>
      <c r="G307">
        <f t="shared" si="139"/>
        <v>37</v>
      </c>
      <c r="H307">
        <v>0</v>
      </c>
      <c r="I307">
        <v>2</v>
      </c>
      <c r="J307">
        <f t="shared" si="140"/>
        <v>2</v>
      </c>
      <c r="K307">
        <f t="shared" si="141"/>
        <v>0</v>
      </c>
      <c r="L307">
        <f t="shared" si="142"/>
        <v>39</v>
      </c>
      <c r="M307">
        <f t="shared" si="143"/>
        <v>39</v>
      </c>
      <c r="N307">
        <f>IF(K336&gt;0,ROUND((K307/K336) * 100, 4), "")</f>
        <v>0</v>
      </c>
      <c r="O307">
        <f>IF(L336&gt;0,ROUND((L307/L336) * 100, 4), "")</f>
        <v>0.43130000000000002</v>
      </c>
      <c r="P307">
        <f>IF(M336&gt;0,ROUND((M307/M336) * 100, 4), "")</f>
        <v>0.112</v>
      </c>
      <c r="Q307">
        <v>0</v>
      </c>
      <c r="R307">
        <v>39</v>
      </c>
      <c r="S307">
        <f t="shared" si="144"/>
        <v>39</v>
      </c>
      <c r="T307">
        <f t="shared" si="145"/>
        <v>0</v>
      </c>
      <c r="U307">
        <f t="shared" si="146"/>
        <v>5</v>
      </c>
      <c r="V307">
        <f t="shared" si="147"/>
        <v>5</v>
      </c>
    </row>
    <row r="308" spans="1:22" x14ac:dyDescent="0.25">
      <c r="A308" t="s">
        <v>299</v>
      </c>
      <c r="B308">
        <v>0</v>
      </c>
      <c r="C308">
        <v>0</v>
      </c>
      <c r="D308">
        <f t="shared" si="138"/>
        <v>0</v>
      </c>
      <c r="E308">
        <v>0</v>
      </c>
      <c r="F308">
        <v>0</v>
      </c>
      <c r="G308">
        <f t="shared" si="139"/>
        <v>0</v>
      </c>
      <c r="H308">
        <v>0</v>
      </c>
      <c r="I308">
        <v>0</v>
      </c>
      <c r="J308">
        <f t="shared" si="140"/>
        <v>0</v>
      </c>
      <c r="K308">
        <f t="shared" si="141"/>
        <v>0</v>
      </c>
      <c r="L308">
        <f t="shared" si="142"/>
        <v>0</v>
      </c>
      <c r="M308">
        <f t="shared" si="143"/>
        <v>0</v>
      </c>
      <c r="N308">
        <f>IF(K336&gt;0,ROUND((K308/K336) * 100, 4), "")</f>
        <v>0</v>
      </c>
      <c r="O308">
        <f>IF(L336&gt;0,ROUND((L308/L336) * 100, 4), "")</f>
        <v>0</v>
      </c>
      <c r="P308">
        <f>IF(M336&gt;0,ROUND((M308/M336) * 100, 4), "")</f>
        <v>0</v>
      </c>
      <c r="Q308">
        <v>0</v>
      </c>
      <c r="R308">
        <v>0</v>
      </c>
      <c r="S308">
        <f t="shared" si="144"/>
        <v>0</v>
      </c>
      <c r="T308">
        <f t="shared" si="145"/>
        <v>0</v>
      </c>
      <c r="U308">
        <f t="shared" si="146"/>
        <v>0</v>
      </c>
      <c r="V308">
        <f t="shared" si="147"/>
        <v>0</v>
      </c>
    </row>
    <row r="309" spans="1:22" x14ac:dyDescent="0.25">
      <c r="A309" t="s">
        <v>300</v>
      </c>
      <c r="B309">
        <v>11</v>
      </c>
      <c r="C309">
        <v>14</v>
      </c>
      <c r="D309">
        <f t="shared" si="138"/>
        <v>25</v>
      </c>
      <c r="E309">
        <v>75</v>
      </c>
      <c r="F309">
        <v>197</v>
      </c>
      <c r="G309">
        <f t="shared" si="139"/>
        <v>272</v>
      </c>
      <c r="H309">
        <v>0</v>
      </c>
      <c r="I309">
        <v>0</v>
      </c>
      <c r="J309">
        <f t="shared" si="140"/>
        <v>0</v>
      </c>
      <c r="K309">
        <f t="shared" si="141"/>
        <v>75</v>
      </c>
      <c r="L309">
        <f t="shared" si="142"/>
        <v>197</v>
      </c>
      <c r="M309">
        <f t="shared" si="143"/>
        <v>272</v>
      </c>
      <c r="N309">
        <f>IF(K336&gt;0,ROUND((K309/K336) * 100, 4), "")</f>
        <v>0.29110000000000003</v>
      </c>
      <c r="O309">
        <f>IF(L336&gt;0,ROUND((L309/L336) * 100, 4), "")</f>
        <v>2.1787000000000001</v>
      </c>
      <c r="P309">
        <f>IF(M336&gt;0,ROUND((M309/M336) * 100, 4), "")</f>
        <v>0.78139999999999998</v>
      </c>
      <c r="Q309">
        <v>84</v>
      </c>
      <c r="R309">
        <v>182</v>
      </c>
      <c r="S309">
        <f t="shared" si="144"/>
        <v>266</v>
      </c>
      <c r="T309">
        <f t="shared" si="145"/>
        <v>2</v>
      </c>
      <c r="U309">
        <f t="shared" si="146"/>
        <v>29</v>
      </c>
      <c r="V309">
        <f t="shared" si="147"/>
        <v>31</v>
      </c>
    </row>
    <row r="310" spans="1:22" x14ac:dyDescent="0.25">
      <c r="A310" t="s">
        <v>301</v>
      </c>
      <c r="B310">
        <v>30</v>
      </c>
      <c r="C310">
        <v>78</v>
      </c>
      <c r="D310">
        <f t="shared" si="138"/>
        <v>108</v>
      </c>
      <c r="E310">
        <v>901</v>
      </c>
      <c r="F310">
        <v>179</v>
      </c>
      <c r="G310">
        <f t="shared" si="139"/>
        <v>1080</v>
      </c>
      <c r="H310">
        <v>6</v>
      </c>
      <c r="I310">
        <v>4</v>
      </c>
      <c r="J310">
        <f t="shared" si="140"/>
        <v>10</v>
      </c>
      <c r="K310">
        <f t="shared" si="141"/>
        <v>907</v>
      </c>
      <c r="L310">
        <f t="shared" si="142"/>
        <v>183</v>
      </c>
      <c r="M310">
        <f t="shared" si="143"/>
        <v>1090</v>
      </c>
      <c r="N310">
        <f>IF(K336&gt;0,ROUND((K310/K336) * 100, 4), "")</f>
        <v>3.5198999999999998</v>
      </c>
      <c r="O310">
        <f>IF(L336&gt;0,ROUND((L310/L336) * 100, 4), "")</f>
        <v>2.0238999999999998</v>
      </c>
      <c r="P310">
        <f>IF(M336&gt;0,ROUND((M310/M336) * 100, 4), "")</f>
        <v>3.1313</v>
      </c>
      <c r="Q310">
        <v>828</v>
      </c>
      <c r="R310">
        <v>238</v>
      </c>
      <c r="S310">
        <f t="shared" si="144"/>
        <v>1066</v>
      </c>
      <c r="T310">
        <f t="shared" si="145"/>
        <v>109</v>
      </c>
      <c r="U310">
        <f t="shared" si="146"/>
        <v>23</v>
      </c>
      <c r="V310">
        <f t="shared" si="147"/>
        <v>132</v>
      </c>
    </row>
    <row r="311" spans="1:22" x14ac:dyDescent="0.25">
      <c r="A311" t="s">
        <v>302</v>
      </c>
      <c r="B311">
        <v>0</v>
      </c>
      <c r="C311">
        <v>0</v>
      </c>
      <c r="D311">
        <f t="shared" si="138"/>
        <v>0</v>
      </c>
      <c r="E311">
        <v>0</v>
      </c>
      <c r="F311">
        <v>2</v>
      </c>
      <c r="G311">
        <f t="shared" si="139"/>
        <v>2</v>
      </c>
      <c r="H311">
        <v>0</v>
      </c>
      <c r="I311">
        <v>0</v>
      </c>
      <c r="J311">
        <f t="shared" si="140"/>
        <v>0</v>
      </c>
      <c r="K311">
        <f t="shared" si="141"/>
        <v>0</v>
      </c>
      <c r="L311">
        <f t="shared" si="142"/>
        <v>2</v>
      </c>
      <c r="M311">
        <f t="shared" si="143"/>
        <v>2</v>
      </c>
      <c r="N311">
        <f>IF(K336&gt;0,ROUND((K311/K336) * 100, 4), "")</f>
        <v>0</v>
      </c>
      <c r="O311">
        <f>IF(L336&gt;0,ROUND((L311/L336) * 100, 4), "")</f>
        <v>2.2100000000000002E-2</v>
      </c>
      <c r="P311">
        <f>IF(M336&gt;0,ROUND((M311/M336) * 100, 4), "")</f>
        <v>5.7000000000000002E-3</v>
      </c>
      <c r="Q311">
        <v>0</v>
      </c>
      <c r="R311">
        <v>2</v>
      </c>
      <c r="S311">
        <f t="shared" si="144"/>
        <v>2</v>
      </c>
      <c r="T311">
        <f t="shared" si="145"/>
        <v>0</v>
      </c>
      <c r="U311">
        <f t="shared" si="146"/>
        <v>0</v>
      </c>
      <c r="V311">
        <f t="shared" si="147"/>
        <v>0</v>
      </c>
    </row>
    <row r="312" spans="1:22" x14ac:dyDescent="0.25">
      <c r="A312" t="s">
        <v>303</v>
      </c>
      <c r="B312">
        <v>0</v>
      </c>
      <c r="C312">
        <v>0</v>
      </c>
      <c r="D312">
        <f t="shared" si="138"/>
        <v>0</v>
      </c>
      <c r="E312">
        <v>0</v>
      </c>
      <c r="F312">
        <v>0</v>
      </c>
      <c r="G312">
        <f t="shared" si="139"/>
        <v>0</v>
      </c>
      <c r="H312">
        <v>0</v>
      </c>
      <c r="I312">
        <v>0</v>
      </c>
      <c r="J312">
        <f t="shared" si="140"/>
        <v>0</v>
      </c>
      <c r="K312">
        <f t="shared" si="141"/>
        <v>0</v>
      </c>
      <c r="L312">
        <f t="shared" si="142"/>
        <v>0</v>
      </c>
      <c r="M312">
        <f t="shared" si="143"/>
        <v>0</v>
      </c>
      <c r="N312">
        <f>IF(K336&gt;0,ROUND((K312/K336) * 100, 4), "")</f>
        <v>0</v>
      </c>
      <c r="O312">
        <f>IF(L336&gt;0,ROUND((L312/L336) * 100, 4), "")</f>
        <v>0</v>
      </c>
      <c r="P312">
        <f>IF(M336&gt;0,ROUND((M312/M336) * 100, 4), "")</f>
        <v>0</v>
      </c>
      <c r="Q312">
        <v>0</v>
      </c>
      <c r="R312">
        <v>0</v>
      </c>
      <c r="S312">
        <f t="shared" si="144"/>
        <v>0</v>
      </c>
      <c r="T312">
        <f t="shared" si="145"/>
        <v>0</v>
      </c>
      <c r="U312">
        <f t="shared" si="146"/>
        <v>0</v>
      </c>
      <c r="V312">
        <f t="shared" si="147"/>
        <v>0</v>
      </c>
    </row>
    <row r="313" spans="1:22" x14ac:dyDescent="0.25">
      <c r="A313" t="s">
        <v>304</v>
      </c>
      <c r="B313">
        <v>2</v>
      </c>
      <c r="C313">
        <v>12</v>
      </c>
      <c r="D313">
        <f t="shared" si="138"/>
        <v>14</v>
      </c>
      <c r="E313">
        <v>17</v>
      </c>
      <c r="F313">
        <v>215</v>
      </c>
      <c r="G313">
        <f t="shared" si="139"/>
        <v>232</v>
      </c>
      <c r="H313">
        <v>0</v>
      </c>
      <c r="I313">
        <v>2</v>
      </c>
      <c r="J313">
        <f t="shared" si="140"/>
        <v>2</v>
      </c>
      <c r="K313">
        <f t="shared" si="141"/>
        <v>17</v>
      </c>
      <c r="L313">
        <f t="shared" si="142"/>
        <v>217</v>
      </c>
      <c r="M313">
        <f t="shared" si="143"/>
        <v>234</v>
      </c>
      <c r="N313">
        <f>IF(K336&gt;0,ROUND((K313/K336) * 100, 4), "")</f>
        <v>6.6000000000000003E-2</v>
      </c>
      <c r="O313">
        <f>IF(L336&gt;0,ROUND((L313/L336) * 100, 4), "")</f>
        <v>2.3999000000000001</v>
      </c>
      <c r="P313">
        <f>IF(M336&gt;0,ROUND((M313/M336) * 100, 4), "")</f>
        <v>0.67220000000000002</v>
      </c>
      <c r="Q313">
        <v>17</v>
      </c>
      <c r="R313">
        <v>196</v>
      </c>
      <c r="S313">
        <f t="shared" si="144"/>
        <v>213</v>
      </c>
      <c r="T313">
        <f t="shared" si="145"/>
        <v>2</v>
      </c>
      <c r="U313">
        <f t="shared" si="146"/>
        <v>33</v>
      </c>
      <c r="V313">
        <f t="shared" si="147"/>
        <v>35</v>
      </c>
    </row>
    <row r="314" spans="1:22" x14ac:dyDescent="0.25">
      <c r="A314" t="s">
        <v>305</v>
      </c>
      <c r="B314">
        <v>0</v>
      </c>
      <c r="C314">
        <v>0</v>
      </c>
      <c r="D314">
        <f t="shared" si="138"/>
        <v>0</v>
      </c>
      <c r="E314">
        <v>0</v>
      </c>
      <c r="F314">
        <v>0</v>
      </c>
      <c r="G314">
        <f t="shared" si="139"/>
        <v>0</v>
      </c>
      <c r="H314">
        <v>0</v>
      </c>
      <c r="I314">
        <v>0</v>
      </c>
      <c r="J314">
        <f t="shared" si="140"/>
        <v>0</v>
      </c>
      <c r="K314">
        <f t="shared" si="141"/>
        <v>0</v>
      </c>
      <c r="L314">
        <f t="shared" si="142"/>
        <v>0</v>
      </c>
      <c r="M314">
        <f t="shared" si="143"/>
        <v>0</v>
      </c>
      <c r="N314">
        <f>IF(K336&gt;0,ROUND((K314/K336) * 100, 4), "")</f>
        <v>0</v>
      </c>
      <c r="O314">
        <f>IF(L336&gt;0,ROUND((L314/L336) * 100, 4), "")</f>
        <v>0</v>
      </c>
      <c r="P314">
        <f>IF(M336&gt;0,ROUND((M314/M336) * 100, 4), "")</f>
        <v>0</v>
      </c>
      <c r="Q314">
        <v>0</v>
      </c>
      <c r="R314">
        <v>0</v>
      </c>
      <c r="S314">
        <f t="shared" si="144"/>
        <v>0</v>
      </c>
      <c r="T314">
        <f t="shared" si="145"/>
        <v>0</v>
      </c>
      <c r="U314">
        <f t="shared" si="146"/>
        <v>0</v>
      </c>
      <c r="V314">
        <f t="shared" si="147"/>
        <v>0</v>
      </c>
    </row>
    <row r="315" spans="1:22" x14ac:dyDescent="0.25">
      <c r="A315" t="s">
        <v>306</v>
      </c>
      <c r="B315">
        <v>0</v>
      </c>
      <c r="C315">
        <v>0</v>
      </c>
      <c r="D315">
        <f t="shared" si="138"/>
        <v>0</v>
      </c>
      <c r="E315">
        <v>0</v>
      </c>
      <c r="F315">
        <v>23</v>
      </c>
      <c r="G315">
        <f t="shared" si="139"/>
        <v>23</v>
      </c>
      <c r="H315">
        <v>0</v>
      </c>
      <c r="I315">
        <v>1</v>
      </c>
      <c r="J315">
        <f t="shared" si="140"/>
        <v>1</v>
      </c>
      <c r="K315">
        <f t="shared" si="141"/>
        <v>0</v>
      </c>
      <c r="L315">
        <f t="shared" si="142"/>
        <v>24</v>
      </c>
      <c r="M315">
        <f t="shared" si="143"/>
        <v>24</v>
      </c>
      <c r="N315">
        <f>IF(K336&gt;0,ROUND((K315/K336) * 100, 4), "")</f>
        <v>0</v>
      </c>
      <c r="O315">
        <f>IF(L336&gt;0,ROUND((L315/L336) * 100, 4), "")</f>
        <v>0.26540000000000002</v>
      </c>
      <c r="P315">
        <f>IF(M336&gt;0,ROUND((M315/M336) * 100, 4), "")</f>
        <v>6.8900000000000003E-2</v>
      </c>
      <c r="Q315">
        <v>0</v>
      </c>
      <c r="R315">
        <v>23</v>
      </c>
      <c r="S315">
        <f t="shared" si="144"/>
        <v>23</v>
      </c>
      <c r="T315">
        <f t="shared" si="145"/>
        <v>0</v>
      </c>
      <c r="U315">
        <f t="shared" si="146"/>
        <v>1</v>
      </c>
      <c r="V315">
        <f t="shared" si="147"/>
        <v>1</v>
      </c>
    </row>
    <row r="316" spans="1:22" x14ac:dyDescent="0.25">
      <c r="A316" t="s">
        <v>307</v>
      </c>
      <c r="B316">
        <v>4</v>
      </c>
      <c r="C316">
        <v>0</v>
      </c>
      <c r="D316">
        <f t="shared" si="138"/>
        <v>4</v>
      </c>
      <c r="E316">
        <v>8</v>
      </c>
      <c r="F316">
        <v>0</v>
      </c>
      <c r="G316">
        <f t="shared" si="139"/>
        <v>8</v>
      </c>
      <c r="H316">
        <v>1</v>
      </c>
      <c r="I316">
        <v>0</v>
      </c>
      <c r="J316">
        <f t="shared" si="140"/>
        <v>1</v>
      </c>
      <c r="K316">
        <f t="shared" si="141"/>
        <v>9</v>
      </c>
      <c r="L316">
        <f t="shared" si="142"/>
        <v>0</v>
      </c>
      <c r="M316">
        <f t="shared" si="143"/>
        <v>9</v>
      </c>
      <c r="N316">
        <f>IF(K336&gt;0,ROUND((K316/K336) * 100, 4), "")</f>
        <v>3.49E-2</v>
      </c>
      <c r="O316">
        <f>IF(L336&gt;0,ROUND((L316/L336) * 100, 4), "")</f>
        <v>0</v>
      </c>
      <c r="P316">
        <f>IF(M336&gt;0,ROUND((M316/M336) * 100, 4), "")</f>
        <v>2.5899999999999999E-2</v>
      </c>
      <c r="Q316">
        <v>12</v>
      </c>
      <c r="R316">
        <v>0</v>
      </c>
      <c r="S316">
        <f t="shared" si="144"/>
        <v>12</v>
      </c>
      <c r="T316">
        <f t="shared" si="145"/>
        <v>1</v>
      </c>
      <c r="U316">
        <f t="shared" si="146"/>
        <v>0</v>
      </c>
      <c r="V316">
        <f t="shared" si="147"/>
        <v>1</v>
      </c>
    </row>
    <row r="317" spans="1:22" x14ac:dyDescent="0.25">
      <c r="A317" t="s">
        <v>308</v>
      </c>
      <c r="B317">
        <v>0</v>
      </c>
      <c r="C317">
        <v>0</v>
      </c>
      <c r="D317">
        <f t="shared" si="138"/>
        <v>0</v>
      </c>
      <c r="E317">
        <v>0</v>
      </c>
      <c r="F317">
        <v>0</v>
      </c>
      <c r="G317">
        <f t="shared" si="139"/>
        <v>0</v>
      </c>
      <c r="H317">
        <v>0</v>
      </c>
      <c r="I317">
        <v>0</v>
      </c>
      <c r="J317">
        <f t="shared" si="140"/>
        <v>0</v>
      </c>
      <c r="K317">
        <f t="shared" si="141"/>
        <v>0</v>
      </c>
      <c r="L317">
        <f t="shared" si="142"/>
        <v>0</v>
      </c>
      <c r="M317">
        <f t="shared" si="143"/>
        <v>0</v>
      </c>
      <c r="N317">
        <f>IF(K336&gt;0,ROUND((K317/K336) * 100, 4), "")</f>
        <v>0</v>
      </c>
      <c r="O317">
        <f>IF(L336&gt;0,ROUND((L317/L336) * 100, 4), "")</f>
        <v>0</v>
      </c>
      <c r="P317">
        <f>IF(M336&gt;0,ROUND((M317/M336) * 100, 4), "")</f>
        <v>0</v>
      </c>
      <c r="Q317">
        <v>0</v>
      </c>
      <c r="R317">
        <v>0</v>
      </c>
      <c r="S317">
        <f t="shared" si="144"/>
        <v>0</v>
      </c>
      <c r="T317">
        <f t="shared" si="145"/>
        <v>0</v>
      </c>
      <c r="U317">
        <f t="shared" si="146"/>
        <v>0</v>
      </c>
      <c r="V317">
        <f t="shared" si="147"/>
        <v>0</v>
      </c>
    </row>
    <row r="318" spans="1:22" x14ac:dyDescent="0.25">
      <c r="A318" t="s">
        <v>309</v>
      </c>
      <c r="B318">
        <v>0</v>
      </c>
      <c r="C318">
        <v>0</v>
      </c>
      <c r="D318">
        <f t="shared" si="138"/>
        <v>0</v>
      </c>
      <c r="E318">
        <v>0</v>
      </c>
      <c r="F318">
        <v>0</v>
      </c>
      <c r="G318">
        <f t="shared" si="139"/>
        <v>0</v>
      </c>
      <c r="H318">
        <v>0</v>
      </c>
      <c r="I318">
        <v>0</v>
      </c>
      <c r="J318">
        <f t="shared" si="140"/>
        <v>0</v>
      </c>
      <c r="K318">
        <f t="shared" si="141"/>
        <v>0</v>
      </c>
      <c r="L318">
        <f t="shared" si="142"/>
        <v>0</v>
      </c>
      <c r="M318">
        <f t="shared" si="143"/>
        <v>0</v>
      </c>
      <c r="N318">
        <f>IF(K336&gt;0,ROUND((K318/K336) * 100, 4), "")</f>
        <v>0</v>
      </c>
      <c r="O318">
        <f>IF(L336&gt;0,ROUND((L318/L336) * 100, 4), "")</f>
        <v>0</v>
      </c>
      <c r="P318">
        <f>IF(M336&gt;0,ROUND((M318/M336) * 100, 4), "")</f>
        <v>0</v>
      </c>
      <c r="Q318">
        <v>0</v>
      </c>
      <c r="R318">
        <v>0</v>
      </c>
      <c r="S318">
        <f t="shared" si="144"/>
        <v>0</v>
      </c>
      <c r="T318">
        <f t="shared" si="145"/>
        <v>0</v>
      </c>
      <c r="U318">
        <f t="shared" si="146"/>
        <v>0</v>
      </c>
      <c r="V318">
        <f t="shared" si="147"/>
        <v>0</v>
      </c>
    </row>
    <row r="319" spans="1:22" x14ac:dyDescent="0.25">
      <c r="A319" t="s">
        <v>310</v>
      </c>
      <c r="B319">
        <v>0</v>
      </c>
      <c r="C319">
        <v>0</v>
      </c>
      <c r="D319">
        <f t="shared" si="138"/>
        <v>0</v>
      </c>
      <c r="E319">
        <v>0</v>
      </c>
      <c r="F319">
        <v>0</v>
      </c>
      <c r="G319">
        <f t="shared" si="139"/>
        <v>0</v>
      </c>
      <c r="H319">
        <v>0</v>
      </c>
      <c r="I319">
        <v>0</v>
      </c>
      <c r="J319">
        <f t="shared" si="140"/>
        <v>0</v>
      </c>
      <c r="K319">
        <f t="shared" si="141"/>
        <v>0</v>
      </c>
      <c r="L319">
        <f t="shared" si="142"/>
        <v>0</v>
      </c>
      <c r="M319">
        <f t="shared" si="143"/>
        <v>0</v>
      </c>
      <c r="N319">
        <f>IF(K336&gt;0,ROUND((K319/K336) * 100, 4), "")</f>
        <v>0</v>
      </c>
      <c r="O319">
        <f>IF(L336&gt;0,ROUND((L319/L336) * 100, 4), "")</f>
        <v>0</v>
      </c>
      <c r="P319">
        <f>IF(M336&gt;0,ROUND((M319/M336) * 100, 4), "")</f>
        <v>0</v>
      </c>
      <c r="Q319">
        <v>0</v>
      </c>
      <c r="R319">
        <v>0</v>
      </c>
      <c r="S319">
        <f t="shared" si="144"/>
        <v>0</v>
      </c>
      <c r="T319">
        <f t="shared" si="145"/>
        <v>0</v>
      </c>
      <c r="U319">
        <f t="shared" si="146"/>
        <v>0</v>
      </c>
      <c r="V319">
        <f t="shared" si="147"/>
        <v>0</v>
      </c>
    </row>
    <row r="320" spans="1:22" x14ac:dyDescent="0.25">
      <c r="A320" t="s">
        <v>311</v>
      </c>
      <c r="B320">
        <v>0</v>
      </c>
      <c r="C320">
        <v>0</v>
      </c>
      <c r="D320">
        <f t="shared" si="138"/>
        <v>0</v>
      </c>
      <c r="E320">
        <v>0</v>
      </c>
      <c r="F320">
        <v>3</v>
      </c>
      <c r="G320">
        <f t="shared" si="139"/>
        <v>3</v>
      </c>
      <c r="H320">
        <v>0</v>
      </c>
      <c r="I320">
        <v>0</v>
      </c>
      <c r="J320">
        <f t="shared" si="140"/>
        <v>0</v>
      </c>
      <c r="K320">
        <f t="shared" si="141"/>
        <v>0</v>
      </c>
      <c r="L320">
        <f t="shared" si="142"/>
        <v>3</v>
      </c>
      <c r="M320">
        <f t="shared" si="143"/>
        <v>3</v>
      </c>
      <c r="N320">
        <f>IF(K336&gt;0,ROUND((K320/K336) * 100, 4), "")</f>
        <v>0</v>
      </c>
      <c r="O320">
        <f>IF(L336&gt;0,ROUND((L320/L336) * 100, 4), "")</f>
        <v>3.32E-2</v>
      </c>
      <c r="P320">
        <f>IF(M336&gt;0,ROUND((M320/M336) * 100, 4), "")</f>
        <v>8.6E-3</v>
      </c>
      <c r="Q320">
        <v>0</v>
      </c>
      <c r="R320">
        <v>1</v>
      </c>
      <c r="S320">
        <f t="shared" si="144"/>
        <v>1</v>
      </c>
      <c r="T320">
        <f t="shared" si="145"/>
        <v>0</v>
      </c>
      <c r="U320">
        <f t="shared" si="146"/>
        <v>2</v>
      </c>
      <c r="V320">
        <f t="shared" si="147"/>
        <v>2</v>
      </c>
    </row>
    <row r="321" spans="1:22" x14ac:dyDescent="0.25">
      <c r="A321" t="s">
        <v>312</v>
      </c>
      <c r="B321">
        <v>0</v>
      </c>
      <c r="C321">
        <v>0</v>
      </c>
      <c r="D321">
        <f t="shared" si="138"/>
        <v>0</v>
      </c>
      <c r="E321">
        <v>0</v>
      </c>
      <c r="F321">
        <v>0</v>
      </c>
      <c r="G321">
        <f t="shared" si="139"/>
        <v>0</v>
      </c>
      <c r="H321">
        <v>0</v>
      </c>
      <c r="I321">
        <v>0</v>
      </c>
      <c r="J321">
        <f t="shared" si="140"/>
        <v>0</v>
      </c>
      <c r="K321">
        <f t="shared" si="141"/>
        <v>0</v>
      </c>
      <c r="L321">
        <f t="shared" si="142"/>
        <v>0</v>
      </c>
      <c r="M321">
        <f t="shared" si="143"/>
        <v>0</v>
      </c>
      <c r="N321">
        <f>IF(K336&gt;0,ROUND((K321/K336) * 100, 4), "")</f>
        <v>0</v>
      </c>
      <c r="O321">
        <f>IF(L336&gt;0,ROUND((L321/L336) * 100, 4), "")</f>
        <v>0</v>
      </c>
      <c r="P321">
        <f>IF(M336&gt;0,ROUND((M321/M336) * 100, 4), "")</f>
        <v>0</v>
      </c>
      <c r="Q321">
        <v>0</v>
      </c>
      <c r="R321">
        <v>0</v>
      </c>
      <c r="S321">
        <f t="shared" si="144"/>
        <v>0</v>
      </c>
      <c r="T321">
        <f t="shared" si="145"/>
        <v>0</v>
      </c>
      <c r="U321">
        <f t="shared" si="146"/>
        <v>0</v>
      </c>
      <c r="V321">
        <f t="shared" si="147"/>
        <v>0</v>
      </c>
    </row>
    <row r="322" spans="1:22" x14ac:dyDescent="0.25">
      <c r="A322" t="s">
        <v>313</v>
      </c>
      <c r="B322">
        <v>0</v>
      </c>
      <c r="C322">
        <v>1</v>
      </c>
      <c r="D322">
        <f t="shared" si="138"/>
        <v>1</v>
      </c>
      <c r="E322">
        <v>0</v>
      </c>
      <c r="F322">
        <v>0</v>
      </c>
      <c r="G322">
        <f t="shared" si="139"/>
        <v>0</v>
      </c>
      <c r="H322">
        <v>0</v>
      </c>
      <c r="I322">
        <v>0</v>
      </c>
      <c r="J322">
        <f t="shared" si="140"/>
        <v>0</v>
      </c>
      <c r="K322">
        <f t="shared" si="141"/>
        <v>0</v>
      </c>
      <c r="L322">
        <f t="shared" si="142"/>
        <v>0</v>
      </c>
      <c r="M322">
        <f t="shared" si="143"/>
        <v>0</v>
      </c>
      <c r="N322">
        <f>IF(K336&gt;0,ROUND((K322/K336) * 100, 4), "")</f>
        <v>0</v>
      </c>
      <c r="O322">
        <f>IF(L336&gt;0,ROUND((L322/L336) * 100, 4), "")</f>
        <v>0</v>
      </c>
      <c r="P322">
        <f>IF(M336&gt;0,ROUND((M322/M336) * 100, 4), "")</f>
        <v>0</v>
      </c>
      <c r="Q322">
        <v>0</v>
      </c>
      <c r="R322">
        <v>0</v>
      </c>
      <c r="S322">
        <f t="shared" si="144"/>
        <v>0</v>
      </c>
      <c r="T322">
        <f t="shared" si="145"/>
        <v>0</v>
      </c>
      <c r="U322">
        <f t="shared" si="146"/>
        <v>1</v>
      </c>
      <c r="V322">
        <f t="shared" si="147"/>
        <v>1</v>
      </c>
    </row>
    <row r="323" spans="1:22" x14ac:dyDescent="0.25">
      <c r="A323" t="s">
        <v>314</v>
      </c>
      <c r="B323">
        <v>0</v>
      </c>
      <c r="C323">
        <v>1</v>
      </c>
      <c r="D323">
        <f t="shared" si="138"/>
        <v>1</v>
      </c>
      <c r="E323">
        <v>0</v>
      </c>
      <c r="F323">
        <v>7</v>
      </c>
      <c r="G323">
        <f t="shared" si="139"/>
        <v>7</v>
      </c>
      <c r="H323">
        <v>0</v>
      </c>
      <c r="I323">
        <v>0</v>
      </c>
      <c r="J323">
        <f t="shared" si="140"/>
        <v>0</v>
      </c>
      <c r="K323">
        <f t="shared" si="141"/>
        <v>0</v>
      </c>
      <c r="L323">
        <f t="shared" si="142"/>
        <v>7</v>
      </c>
      <c r="M323">
        <f t="shared" si="143"/>
        <v>7</v>
      </c>
      <c r="N323">
        <f>IF(K336&gt;0,ROUND((K323/K336) * 100, 4), "")</f>
        <v>0</v>
      </c>
      <c r="O323">
        <f>IF(L336&gt;0,ROUND((L323/L336) * 100, 4), "")</f>
        <v>7.7399999999999997E-2</v>
      </c>
      <c r="P323">
        <f>IF(M336&gt;0,ROUND((M323/M336) * 100, 4), "")</f>
        <v>2.01E-2</v>
      </c>
      <c r="Q323">
        <v>0</v>
      </c>
      <c r="R323">
        <v>8</v>
      </c>
      <c r="S323">
        <f t="shared" si="144"/>
        <v>8</v>
      </c>
      <c r="T323">
        <f t="shared" si="145"/>
        <v>0</v>
      </c>
      <c r="U323">
        <f t="shared" si="146"/>
        <v>0</v>
      </c>
      <c r="V323">
        <f t="shared" si="147"/>
        <v>0</v>
      </c>
    </row>
    <row r="324" spans="1:22" x14ac:dyDescent="0.25">
      <c r="A324" t="s">
        <v>315</v>
      </c>
      <c r="B324">
        <v>0</v>
      </c>
      <c r="C324">
        <v>3</v>
      </c>
      <c r="D324">
        <f t="shared" si="138"/>
        <v>3</v>
      </c>
      <c r="E324">
        <v>15</v>
      </c>
      <c r="F324">
        <v>56</v>
      </c>
      <c r="G324">
        <f t="shared" si="139"/>
        <v>71</v>
      </c>
      <c r="H324">
        <v>0</v>
      </c>
      <c r="I324">
        <v>2</v>
      </c>
      <c r="J324">
        <f t="shared" si="140"/>
        <v>2</v>
      </c>
      <c r="K324">
        <f t="shared" si="141"/>
        <v>15</v>
      </c>
      <c r="L324">
        <f t="shared" si="142"/>
        <v>58</v>
      </c>
      <c r="M324">
        <f t="shared" si="143"/>
        <v>73</v>
      </c>
      <c r="N324">
        <f>IF(K336&gt;0,ROUND((K324/K336) * 100, 4), "")</f>
        <v>5.8200000000000002E-2</v>
      </c>
      <c r="O324">
        <f>IF(L336&gt;0,ROUND((L324/L336) * 100, 4), "")</f>
        <v>0.64149999999999996</v>
      </c>
      <c r="P324">
        <f>IF(M336&gt;0,ROUND((M324/M336) * 100, 4), "")</f>
        <v>0.2097</v>
      </c>
      <c r="Q324">
        <v>6</v>
      </c>
      <c r="R324">
        <v>45</v>
      </c>
      <c r="S324">
        <f t="shared" si="144"/>
        <v>51</v>
      </c>
      <c r="T324">
        <f t="shared" si="145"/>
        <v>9</v>
      </c>
      <c r="U324">
        <f t="shared" si="146"/>
        <v>16</v>
      </c>
      <c r="V324">
        <f t="shared" si="147"/>
        <v>25</v>
      </c>
    </row>
    <row r="325" spans="1:22" x14ac:dyDescent="0.25">
      <c r="A325" t="s">
        <v>316</v>
      </c>
      <c r="B325">
        <v>0</v>
      </c>
      <c r="C325">
        <v>0</v>
      </c>
      <c r="D325">
        <f t="shared" si="138"/>
        <v>0</v>
      </c>
      <c r="E325">
        <v>0</v>
      </c>
      <c r="F325">
        <v>0</v>
      </c>
      <c r="G325">
        <f t="shared" si="139"/>
        <v>0</v>
      </c>
      <c r="H325">
        <v>0</v>
      </c>
      <c r="I325">
        <v>0</v>
      </c>
      <c r="J325">
        <f t="shared" si="140"/>
        <v>0</v>
      </c>
      <c r="K325">
        <f t="shared" si="141"/>
        <v>0</v>
      </c>
      <c r="L325">
        <f t="shared" si="142"/>
        <v>0</v>
      </c>
      <c r="M325">
        <f t="shared" si="143"/>
        <v>0</v>
      </c>
      <c r="N325">
        <f>IF(K336&gt;0,ROUND((K325/K336) * 100, 4), "")</f>
        <v>0</v>
      </c>
      <c r="O325">
        <f>IF(L336&gt;0,ROUND((L325/L336) * 100, 4), "")</f>
        <v>0</v>
      </c>
      <c r="P325">
        <f>IF(M336&gt;0,ROUND((M325/M336) * 100, 4), "")</f>
        <v>0</v>
      </c>
      <c r="Q325">
        <v>0</v>
      </c>
      <c r="R325">
        <v>0</v>
      </c>
      <c r="S325">
        <f t="shared" si="144"/>
        <v>0</v>
      </c>
      <c r="T325">
        <f t="shared" si="145"/>
        <v>0</v>
      </c>
      <c r="U325">
        <f t="shared" si="146"/>
        <v>0</v>
      </c>
      <c r="V325">
        <f t="shared" si="147"/>
        <v>0</v>
      </c>
    </row>
    <row r="326" spans="1:22" x14ac:dyDescent="0.25">
      <c r="A326" t="s">
        <v>317</v>
      </c>
      <c r="B326">
        <v>4</v>
      </c>
      <c r="C326">
        <v>0</v>
      </c>
      <c r="D326">
        <f t="shared" si="138"/>
        <v>4</v>
      </c>
      <c r="E326">
        <v>47</v>
      </c>
      <c r="F326">
        <v>22</v>
      </c>
      <c r="G326">
        <f t="shared" si="139"/>
        <v>69</v>
      </c>
      <c r="H326">
        <v>1</v>
      </c>
      <c r="I326">
        <v>0</v>
      </c>
      <c r="J326">
        <f t="shared" si="140"/>
        <v>1</v>
      </c>
      <c r="K326">
        <f t="shared" si="141"/>
        <v>48</v>
      </c>
      <c r="L326">
        <f t="shared" si="142"/>
        <v>22</v>
      </c>
      <c r="M326">
        <f t="shared" si="143"/>
        <v>70</v>
      </c>
      <c r="N326">
        <f>IF(K336&gt;0,ROUND((K326/K336) * 100, 4), "")</f>
        <v>0.18629999999999999</v>
      </c>
      <c r="O326">
        <f>IF(L336&gt;0,ROUND((L326/L336) * 100, 4), "")</f>
        <v>0.24329999999999999</v>
      </c>
      <c r="P326">
        <f>IF(M336&gt;0,ROUND((M326/M336) * 100, 4), "")</f>
        <v>0.2011</v>
      </c>
      <c r="Q326">
        <v>51</v>
      </c>
      <c r="R326">
        <v>21</v>
      </c>
      <c r="S326">
        <f t="shared" si="144"/>
        <v>72</v>
      </c>
      <c r="T326">
        <f t="shared" si="145"/>
        <v>1</v>
      </c>
      <c r="U326">
        <f t="shared" si="146"/>
        <v>1</v>
      </c>
      <c r="V326">
        <f t="shared" si="147"/>
        <v>2</v>
      </c>
    </row>
    <row r="327" spans="1:22" x14ac:dyDescent="0.25">
      <c r="A327" t="s">
        <v>318</v>
      </c>
      <c r="B327">
        <v>2</v>
      </c>
      <c r="C327">
        <v>38</v>
      </c>
      <c r="D327">
        <f t="shared" si="138"/>
        <v>40</v>
      </c>
      <c r="E327">
        <v>1</v>
      </c>
      <c r="F327">
        <v>27</v>
      </c>
      <c r="G327">
        <f t="shared" si="139"/>
        <v>28</v>
      </c>
      <c r="H327">
        <v>0</v>
      </c>
      <c r="I327">
        <v>0</v>
      </c>
      <c r="J327">
        <f t="shared" si="140"/>
        <v>0</v>
      </c>
      <c r="K327">
        <f t="shared" si="141"/>
        <v>1</v>
      </c>
      <c r="L327">
        <f t="shared" si="142"/>
        <v>27</v>
      </c>
      <c r="M327">
        <f t="shared" si="143"/>
        <v>28</v>
      </c>
      <c r="N327">
        <f>IF(K336&gt;0,ROUND((K327/K336) * 100, 4), "")</f>
        <v>3.8999999999999998E-3</v>
      </c>
      <c r="O327">
        <f>IF(L336&gt;0,ROUND((L327/L336) * 100, 4), "")</f>
        <v>0.29859999999999998</v>
      </c>
      <c r="P327">
        <f>IF(M336&gt;0,ROUND((M327/M336) * 100, 4), "")</f>
        <v>8.0399999999999999E-2</v>
      </c>
      <c r="Q327">
        <v>3</v>
      </c>
      <c r="R327">
        <v>62</v>
      </c>
      <c r="S327">
        <f t="shared" si="144"/>
        <v>65</v>
      </c>
      <c r="T327">
        <f t="shared" si="145"/>
        <v>0</v>
      </c>
      <c r="U327">
        <f t="shared" si="146"/>
        <v>3</v>
      </c>
      <c r="V327">
        <f t="shared" si="147"/>
        <v>3</v>
      </c>
    </row>
    <row r="329" spans="1:22" x14ac:dyDescent="0.25">
      <c r="A329" s="8" t="s">
        <v>319</v>
      </c>
      <c r="B329" s="8" t="s">
        <v>319</v>
      </c>
      <c r="C329" s="8" t="s">
        <v>319</v>
      </c>
      <c r="D329" s="8" t="s">
        <v>319</v>
      </c>
      <c r="E329" s="8" t="s">
        <v>319</v>
      </c>
      <c r="F329" s="8" t="s">
        <v>319</v>
      </c>
      <c r="G329" s="8" t="s">
        <v>319</v>
      </c>
      <c r="H329" s="8" t="s">
        <v>319</v>
      </c>
      <c r="I329" s="8" t="s">
        <v>319</v>
      </c>
      <c r="J329" s="8" t="s">
        <v>319</v>
      </c>
      <c r="K329" s="8" t="s">
        <v>319</v>
      </c>
      <c r="L329" s="8" t="s">
        <v>319</v>
      </c>
      <c r="M329" s="8" t="s">
        <v>319</v>
      </c>
      <c r="N329" s="8" t="s">
        <v>319</v>
      </c>
      <c r="O329" s="8" t="s">
        <v>319</v>
      </c>
      <c r="P329" s="8" t="s">
        <v>319</v>
      </c>
      <c r="Q329" s="8" t="s">
        <v>319</v>
      </c>
      <c r="R329" s="8" t="s">
        <v>319</v>
      </c>
      <c r="S329" s="8" t="s">
        <v>319</v>
      </c>
      <c r="T329" s="8" t="s">
        <v>319</v>
      </c>
      <c r="U329" s="8" t="s">
        <v>319</v>
      </c>
      <c r="V329" s="8" t="s">
        <v>319</v>
      </c>
    </row>
    <row r="330" spans="1:22" x14ac:dyDescent="0.25">
      <c r="A330" t="s">
        <v>320</v>
      </c>
      <c r="B330">
        <v>0</v>
      </c>
      <c r="C330">
        <v>0</v>
      </c>
      <c r="D330">
        <f>B330+C330</f>
        <v>0</v>
      </c>
      <c r="E330">
        <v>0</v>
      </c>
      <c r="F330">
        <v>19</v>
      </c>
      <c r="G330">
        <f>E330+F330</f>
        <v>19</v>
      </c>
      <c r="H330">
        <v>0</v>
      </c>
      <c r="I330">
        <v>0</v>
      </c>
      <c r="J330">
        <f>H330+I330</f>
        <v>0</v>
      </c>
      <c r="K330">
        <f>E330 + H330</f>
        <v>0</v>
      </c>
      <c r="L330">
        <f>F330 + I330</f>
        <v>19</v>
      </c>
      <c r="M330">
        <f>K330 + L330</f>
        <v>19</v>
      </c>
      <c r="N330">
        <f>IF(K336&gt;0,ROUND((K330/K336) * 100, 4), "")</f>
        <v>0</v>
      </c>
      <c r="O330">
        <f>IF(L336&gt;0,ROUND((L330/L336) * 100, 4), "")</f>
        <v>0.21010000000000001</v>
      </c>
      <c r="P330">
        <f>IF(M336&gt;0,ROUND((M330/M336) * 100, 4), "")</f>
        <v>5.4600000000000003E-2</v>
      </c>
      <c r="Q330">
        <v>0</v>
      </c>
      <c r="R330">
        <v>12</v>
      </c>
      <c r="S330">
        <f>Q330 + R330</f>
        <v>12</v>
      </c>
      <c r="T330">
        <f>B330 + K330 - Q330</f>
        <v>0</v>
      </c>
      <c r="U330">
        <f>C330 + L330 - R330</f>
        <v>7</v>
      </c>
      <c r="V330">
        <f>T330 + U330</f>
        <v>7</v>
      </c>
    </row>
    <row r="331" spans="1:22" x14ac:dyDescent="0.25">
      <c r="A331" t="s">
        <v>321</v>
      </c>
      <c r="B331">
        <v>0</v>
      </c>
      <c r="C331">
        <v>9</v>
      </c>
      <c r="D331">
        <f>B331+C331</f>
        <v>9</v>
      </c>
      <c r="E331">
        <v>19</v>
      </c>
      <c r="F331">
        <v>7</v>
      </c>
      <c r="G331">
        <f>E331+F331</f>
        <v>26</v>
      </c>
      <c r="H331">
        <v>0</v>
      </c>
      <c r="I331">
        <v>0</v>
      </c>
      <c r="J331">
        <f>H331+I331</f>
        <v>0</v>
      </c>
      <c r="K331">
        <f>E331 + H331</f>
        <v>19</v>
      </c>
      <c r="L331">
        <f>F331 + I331</f>
        <v>7</v>
      </c>
      <c r="M331">
        <f>K331 + L331</f>
        <v>26</v>
      </c>
      <c r="N331">
        <f>IF(K336&gt;0,ROUND((K331/K336) * 100, 4), "")</f>
        <v>7.3700000000000002E-2</v>
      </c>
      <c r="O331">
        <f>IF(L336&gt;0,ROUND((L331/L336) * 100, 4), "")</f>
        <v>7.7399999999999997E-2</v>
      </c>
      <c r="P331">
        <f>IF(M336&gt;0,ROUND((M331/M336) * 100, 4), "")</f>
        <v>7.4700000000000003E-2</v>
      </c>
      <c r="Q331">
        <v>19</v>
      </c>
      <c r="R331">
        <v>10</v>
      </c>
      <c r="S331">
        <f>Q331 + R331</f>
        <v>29</v>
      </c>
      <c r="T331">
        <f>B331 + K331 - Q331</f>
        <v>0</v>
      </c>
      <c r="U331">
        <f>C331 + L331 - R331</f>
        <v>6</v>
      </c>
      <c r="V331">
        <f>T331 + U331</f>
        <v>6</v>
      </c>
    </row>
    <row r="333" spans="1:22" x14ac:dyDescent="0.25">
      <c r="A333" s="8" t="s">
        <v>322</v>
      </c>
      <c r="B333" s="8" t="s">
        <v>322</v>
      </c>
      <c r="C333" s="8" t="s">
        <v>322</v>
      </c>
      <c r="D333" s="8" t="s">
        <v>322</v>
      </c>
      <c r="E333" s="8" t="s">
        <v>322</v>
      </c>
      <c r="F333" s="8" t="s">
        <v>322</v>
      </c>
      <c r="G333" s="8" t="s">
        <v>322</v>
      </c>
      <c r="H333" s="8" t="s">
        <v>322</v>
      </c>
      <c r="I333" s="8" t="s">
        <v>322</v>
      </c>
      <c r="J333" s="8" t="s">
        <v>322</v>
      </c>
      <c r="K333" s="8" t="s">
        <v>322</v>
      </c>
      <c r="L333" s="8" t="s">
        <v>322</v>
      </c>
      <c r="M333" s="8" t="s">
        <v>322</v>
      </c>
      <c r="N333" s="8" t="s">
        <v>322</v>
      </c>
      <c r="O333" s="8" t="s">
        <v>322</v>
      </c>
      <c r="P333" s="8" t="s">
        <v>322</v>
      </c>
      <c r="Q333" s="8" t="s">
        <v>322</v>
      </c>
      <c r="R333" s="8" t="s">
        <v>322</v>
      </c>
      <c r="S333" s="8" t="s">
        <v>322</v>
      </c>
      <c r="T333" s="8" t="s">
        <v>322</v>
      </c>
      <c r="U333" s="8" t="s">
        <v>322</v>
      </c>
      <c r="V333" s="8" t="s">
        <v>322</v>
      </c>
    </row>
    <row r="334" spans="1:22" x14ac:dyDescent="0.25">
      <c r="A334" t="s">
        <v>323</v>
      </c>
      <c r="B334">
        <v>0</v>
      </c>
      <c r="C334">
        <v>0</v>
      </c>
      <c r="D334">
        <f>B334+C334</f>
        <v>0</v>
      </c>
      <c r="E334">
        <v>0</v>
      </c>
      <c r="F334">
        <v>0</v>
      </c>
      <c r="G334">
        <f>E334+F334</f>
        <v>0</v>
      </c>
      <c r="H334">
        <v>0</v>
      </c>
      <c r="I334">
        <v>0</v>
      </c>
      <c r="J334">
        <f>H334+I334</f>
        <v>0</v>
      </c>
      <c r="K334">
        <f>E334 + H334</f>
        <v>0</v>
      </c>
      <c r="L334">
        <f>F334 + I334</f>
        <v>0</v>
      </c>
      <c r="M334">
        <f>K334 + L334</f>
        <v>0</v>
      </c>
      <c r="N334">
        <f>IF(K336&gt;0,ROUND((K334/K336) * 100, 4), "")</f>
        <v>0</v>
      </c>
      <c r="O334">
        <f>IF(L336&gt;0,ROUND((L334/L336) * 100, 4), "")</f>
        <v>0</v>
      </c>
      <c r="P334">
        <f>IF(M336&gt;0,ROUND((M334/M336) * 100, 4), "")</f>
        <v>0</v>
      </c>
      <c r="Q334">
        <v>0</v>
      </c>
      <c r="R334">
        <v>0</v>
      </c>
      <c r="S334">
        <f>Q334 + R334</f>
        <v>0</v>
      </c>
      <c r="T334">
        <f>B334 + K334 - Q334</f>
        <v>0</v>
      </c>
      <c r="U334">
        <f>C334 + L334 - R334</f>
        <v>0</v>
      </c>
      <c r="V334">
        <f>T334 + U334</f>
        <v>0</v>
      </c>
    </row>
    <row r="336" spans="1:22" x14ac:dyDescent="0.25">
      <c r="A336" s="9" t="s">
        <v>324</v>
      </c>
      <c r="B336" s="9">
        <f t="shared" ref="B336:M336" si="148">SUM(B2:B335)</f>
        <v>8905</v>
      </c>
      <c r="C336" s="9">
        <f t="shared" si="148"/>
        <v>2314</v>
      </c>
      <c r="D336" s="9">
        <f t="shared" si="148"/>
        <v>11219</v>
      </c>
      <c r="E336" s="9">
        <f t="shared" si="148"/>
        <v>25634</v>
      </c>
      <c r="F336" s="9">
        <f t="shared" si="148"/>
        <v>8784</v>
      </c>
      <c r="G336" s="9">
        <f t="shared" si="148"/>
        <v>34418</v>
      </c>
      <c r="H336" s="9">
        <f t="shared" si="148"/>
        <v>134</v>
      </c>
      <c r="I336" s="9">
        <f t="shared" si="148"/>
        <v>258</v>
      </c>
      <c r="J336" s="9">
        <f t="shared" si="148"/>
        <v>392</v>
      </c>
      <c r="K336" s="9">
        <f t="shared" si="148"/>
        <v>25768</v>
      </c>
      <c r="L336" s="9">
        <f t="shared" si="148"/>
        <v>9042</v>
      </c>
      <c r="M336" s="9">
        <f t="shared" si="148"/>
        <v>34810</v>
      </c>
      <c r="N336" s="9">
        <f>ROUND(SUM(N2:N335),2)</f>
        <v>100</v>
      </c>
      <c r="O336" s="9">
        <f>ROUND(SUM(O2:O335),2)</f>
        <v>100</v>
      </c>
      <c r="P336" s="9">
        <f>ROUND(SUM(P2:P335),2)</f>
        <v>100</v>
      </c>
      <c r="Q336" s="9">
        <f t="shared" ref="Q336:V336" si="149">SUM(Q2:Q335)</f>
        <v>25454</v>
      </c>
      <c r="R336" s="9">
        <f t="shared" si="149"/>
        <v>8465</v>
      </c>
      <c r="S336" s="9">
        <f t="shared" si="149"/>
        <v>33919</v>
      </c>
      <c r="T336" s="9">
        <f t="shared" si="149"/>
        <v>9219</v>
      </c>
      <c r="U336" s="9">
        <f t="shared" si="149"/>
        <v>2891</v>
      </c>
      <c r="V336" s="9">
        <f t="shared" si="149"/>
        <v>12110</v>
      </c>
    </row>
  </sheetData>
  <mergeCells count="46">
    <mergeCell ref="U336"/>
    <mergeCell ref="V336"/>
    <mergeCell ref="P336"/>
    <mergeCell ref="Q336"/>
    <mergeCell ref="R336"/>
    <mergeCell ref="S336"/>
    <mergeCell ref="T336"/>
    <mergeCell ref="K336"/>
    <mergeCell ref="L336"/>
    <mergeCell ref="M336"/>
    <mergeCell ref="N336"/>
    <mergeCell ref="O336"/>
    <mergeCell ref="F336"/>
    <mergeCell ref="G336"/>
    <mergeCell ref="H336"/>
    <mergeCell ref="I336"/>
    <mergeCell ref="J336"/>
    <mergeCell ref="A336"/>
    <mergeCell ref="B336"/>
    <mergeCell ref="C336"/>
    <mergeCell ref="D336"/>
    <mergeCell ref="E336"/>
    <mergeCell ref="A253:V253"/>
    <mergeCell ref="A281:V281"/>
    <mergeCell ref="A295:V295"/>
    <mergeCell ref="A329:V329"/>
    <mergeCell ref="A333:V333"/>
    <mergeCell ref="A124:V124"/>
    <mergeCell ref="A138:V138"/>
    <mergeCell ref="A177:V177"/>
    <mergeCell ref="A193:V193"/>
    <mergeCell ref="A209:V209"/>
    <mergeCell ref="A43:V43"/>
    <mergeCell ref="A61:V61"/>
    <mergeCell ref="A87:V87"/>
    <mergeCell ref="A98:V98"/>
    <mergeCell ref="A114:V114"/>
    <mergeCell ref="N1:P1"/>
    <mergeCell ref="Q1:S1"/>
    <mergeCell ref="T1:V1"/>
    <mergeCell ref="A3:V3"/>
    <mergeCell ref="A16:V16"/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6"/>
  <sheetViews>
    <sheetView workbookViewId="0">
      <pane ySplit="2" topLeftCell="A3" activePane="bottomLeft" state="frozen"/>
      <selection pane="bottomLeft" sqref="A1:A2"/>
    </sheetView>
  </sheetViews>
  <sheetFormatPr defaultRowHeight="15" x14ac:dyDescent="0.25"/>
  <cols>
    <col min="1" max="1" width="50" customWidth="1"/>
  </cols>
  <sheetData>
    <row r="1" spans="1:22" x14ac:dyDescent="0.25">
      <c r="A1" s="11" t="s">
        <v>0</v>
      </c>
      <c r="B1" s="10" t="s">
        <v>325</v>
      </c>
      <c r="C1" s="10" t="s">
        <v>325</v>
      </c>
      <c r="D1" s="10" t="s">
        <v>325</v>
      </c>
      <c r="E1" s="10" t="s">
        <v>325</v>
      </c>
      <c r="F1" s="10" t="s">
        <v>326</v>
      </c>
      <c r="G1" s="10" t="s">
        <v>326</v>
      </c>
      <c r="H1" s="10" t="s">
        <v>326</v>
      </c>
      <c r="I1" s="10" t="s">
        <v>326</v>
      </c>
      <c r="J1" s="10" t="s">
        <v>327</v>
      </c>
      <c r="K1" s="10" t="s">
        <v>327</v>
      </c>
      <c r="L1" s="10" t="s">
        <v>327</v>
      </c>
      <c r="M1" s="10" t="s">
        <v>327</v>
      </c>
      <c r="N1" s="10" t="s">
        <v>328</v>
      </c>
      <c r="O1" s="10" t="s">
        <v>328</v>
      </c>
      <c r="P1" s="10" t="s">
        <v>328</v>
      </c>
      <c r="Q1" s="10" t="s">
        <v>329</v>
      </c>
      <c r="R1" s="10" t="s">
        <v>329</v>
      </c>
      <c r="S1" s="10" t="s">
        <v>329</v>
      </c>
      <c r="T1" s="10" t="s">
        <v>330</v>
      </c>
      <c r="U1" s="10" t="s">
        <v>330</v>
      </c>
      <c r="V1" s="10" t="s">
        <v>330</v>
      </c>
    </row>
    <row r="2" spans="1:22" x14ac:dyDescent="0.25">
      <c r="A2" s="11"/>
      <c r="B2" s="4" t="s">
        <v>339</v>
      </c>
      <c r="C2" s="4" t="s">
        <v>340</v>
      </c>
      <c r="D2" s="4" t="s">
        <v>324</v>
      </c>
      <c r="E2" s="4" t="s">
        <v>331</v>
      </c>
      <c r="F2" s="4" t="s">
        <v>339</v>
      </c>
      <c r="G2" s="4" t="s">
        <v>340</v>
      </c>
      <c r="H2" s="4" t="s">
        <v>324</v>
      </c>
      <c r="I2" s="4" t="s">
        <v>331</v>
      </c>
      <c r="J2" s="4" t="s">
        <v>339</v>
      </c>
      <c r="K2" s="4" t="s">
        <v>340</v>
      </c>
      <c r="L2" s="4" t="s">
        <v>324</v>
      </c>
      <c r="M2" s="4" t="s">
        <v>331</v>
      </c>
      <c r="N2" s="4" t="s">
        <v>339</v>
      </c>
      <c r="O2" s="4" t="s">
        <v>340</v>
      </c>
      <c r="P2" s="4" t="s">
        <v>324</v>
      </c>
      <c r="Q2" s="4" t="s">
        <v>339</v>
      </c>
      <c r="R2" s="4" t="s">
        <v>340</v>
      </c>
      <c r="S2" s="4" t="s">
        <v>324</v>
      </c>
      <c r="T2" s="4" t="s">
        <v>339</v>
      </c>
      <c r="U2" s="4" t="s">
        <v>340</v>
      </c>
      <c r="V2" s="4" t="s">
        <v>324</v>
      </c>
    </row>
    <row r="3" spans="1:22" x14ac:dyDescent="0.25">
      <c r="A3" s="8" t="s">
        <v>8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 t="s">
        <v>8</v>
      </c>
      <c r="S3" s="8" t="s">
        <v>8</v>
      </c>
      <c r="T3" s="8" t="s">
        <v>8</v>
      </c>
      <c r="U3" s="8" t="s">
        <v>8</v>
      </c>
      <c r="V3" s="8" t="s">
        <v>8</v>
      </c>
    </row>
    <row r="4" spans="1:22" x14ac:dyDescent="0.25">
      <c r="A4" t="s">
        <v>9</v>
      </c>
      <c r="B4">
        <v>0</v>
      </c>
      <c r="C4">
        <v>0</v>
      </c>
      <c r="D4">
        <f t="shared" ref="D4:D14" si="0">B4+C4</f>
        <v>0</v>
      </c>
      <c r="E4" t="str">
        <f t="shared" ref="E4:E14" si="1">IF(V4&gt;0,ROUND((D4/V4) * 100, 4), "")</f>
        <v/>
      </c>
      <c r="F4">
        <v>0</v>
      </c>
      <c r="G4">
        <v>0</v>
      </c>
      <c r="H4">
        <f t="shared" ref="H4:H14" si="2">F4+G4</f>
        <v>0</v>
      </c>
      <c r="I4" t="str">
        <f t="shared" ref="I4:I14" si="3">IF(V4&gt;0,ROUND((H4/V4) * 100, 4), "")</f>
        <v/>
      </c>
      <c r="J4">
        <v>0</v>
      </c>
      <c r="K4">
        <v>0</v>
      </c>
      <c r="L4">
        <f t="shared" ref="L4:L14" si="4">J4+K4</f>
        <v>0</v>
      </c>
      <c r="M4" t="str">
        <f t="shared" ref="M4:M14" si="5">IF(V4&gt;0,ROUND((L4/V4) * 100, 4), "")</f>
        <v/>
      </c>
      <c r="N4">
        <v>0</v>
      </c>
      <c r="O4">
        <v>0</v>
      </c>
      <c r="P4">
        <f t="shared" ref="P4:P14" si="6">N4+O4</f>
        <v>0</v>
      </c>
      <c r="Q4">
        <v>0</v>
      </c>
      <c r="R4">
        <v>0</v>
      </c>
      <c r="S4">
        <f t="shared" ref="S4:S14" si="7">Q4+R4</f>
        <v>0</v>
      </c>
      <c r="T4">
        <f t="shared" ref="T4:T14" si="8">B4+F4+J4</f>
        <v>0</v>
      </c>
      <c r="U4">
        <f t="shared" ref="U4:U14" si="9">C4+G4+K4</f>
        <v>0</v>
      </c>
      <c r="V4">
        <f t="shared" ref="V4:V14" si="10">T4+U4</f>
        <v>0</v>
      </c>
    </row>
    <row r="5" spans="1:22" x14ac:dyDescent="0.25">
      <c r="A5" t="s">
        <v>10</v>
      </c>
      <c r="B5">
        <v>0</v>
      </c>
      <c r="C5">
        <v>0</v>
      </c>
      <c r="D5">
        <f t="shared" si="0"/>
        <v>0</v>
      </c>
      <c r="E5" t="str">
        <f t="shared" si="1"/>
        <v/>
      </c>
      <c r="F5">
        <v>0</v>
      </c>
      <c r="G5">
        <v>0</v>
      </c>
      <c r="H5">
        <f t="shared" si="2"/>
        <v>0</v>
      </c>
      <c r="I5" t="str">
        <f t="shared" si="3"/>
        <v/>
      </c>
      <c r="J5">
        <v>0</v>
      </c>
      <c r="K5">
        <v>0</v>
      </c>
      <c r="L5">
        <f t="shared" si="4"/>
        <v>0</v>
      </c>
      <c r="M5" t="str">
        <f t="shared" si="5"/>
        <v/>
      </c>
      <c r="N5">
        <v>0</v>
      </c>
      <c r="O5">
        <v>0</v>
      </c>
      <c r="P5">
        <f t="shared" si="6"/>
        <v>0</v>
      </c>
      <c r="Q5">
        <v>0</v>
      </c>
      <c r="R5">
        <v>0</v>
      </c>
      <c r="S5">
        <f t="shared" si="7"/>
        <v>0</v>
      </c>
      <c r="T5">
        <f t="shared" si="8"/>
        <v>0</v>
      </c>
      <c r="U5">
        <f t="shared" si="9"/>
        <v>0</v>
      </c>
      <c r="V5">
        <f t="shared" si="10"/>
        <v>0</v>
      </c>
    </row>
    <row r="6" spans="1:22" x14ac:dyDescent="0.25">
      <c r="A6" t="s">
        <v>11</v>
      </c>
      <c r="B6">
        <v>0</v>
      </c>
      <c r="C6">
        <v>1</v>
      </c>
      <c r="D6">
        <f t="shared" si="0"/>
        <v>1</v>
      </c>
      <c r="E6">
        <f t="shared" si="1"/>
        <v>33.333300000000001</v>
      </c>
      <c r="F6">
        <v>0</v>
      </c>
      <c r="G6">
        <v>2</v>
      </c>
      <c r="H6">
        <f t="shared" si="2"/>
        <v>2</v>
      </c>
      <c r="I6">
        <f t="shared" si="3"/>
        <v>66.666700000000006</v>
      </c>
      <c r="J6">
        <v>0</v>
      </c>
      <c r="K6">
        <v>0</v>
      </c>
      <c r="L6">
        <f t="shared" si="4"/>
        <v>0</v>
      </c>
      <c r="M6">
        <f t="shared" si="5"/>
        <v>0</v>
      </c>
      <c r="N6">
        <v>0</v>
      </c>
      <c r="O6">
        <v>0</v>
      </c>
      <c r="P6">
        <f t="shared" si="6"/>
        <v>0</v>
      </c>
      <c r="Q6">
        <v>0</v>
      </c>
      <c r="R6">
        <v>0</v>
      </c>
      <c r="S6">
        <f t="shared" si="7"/>
        <v>0</v>
      </c>
      <c r="T6">
        <f t="shared" si="8"/>
        <v>0</v>
      </c>
      <c r="U6">
        <f t="shared" si="9"/>
        <v>3</v>
      </c>
      <c r="V6">
        <f t="shared" si="10"/>
        <v>3</v>
      </c>
    </row>
    <row r="7" spans="1:22" x14ac:dyDescent="0.25">
      <c r="A7" t="s">
        <v>12</v>
      </c>
      <c r="B7">
        <v>0</v>
      </c>
      <c r="C7">
        <v>3</v>
      </c>
      <c r="D7">
        <f t="shared" si="0"/>
        <v>3</v>
      </c>
      <c r="E7">
        <f t="shared" si="1"/>
        <v>18.75</v>
      </c>
      <c r="F7">
        <v>0</v>
      </c>
      <c r="G7">
        <v>9</v>
      </c>
      <c r="H7">
        <f t="shared" si="2"/>
        <v>9</v>
      </c>
      <c r="I7">
        <f t="shared" si="3"/>
        <v>56.25</v>
      </c>
      <c r="J7">
        <v>0</v>
      </c>
      <c r="K7">
        <v>4</v>
      </c>
      <c r="L7">
        <f t="shared" si="4"/>
        <v>4</v>
      </c>
      <c r="M7">
        <f t="shared" si="5"/>
        <v>25</v>
      </c>
      <c r="N7">
        <v>0</v>
      </c>
      <c r="O7">
        <v>0</v>
      </c>
      <c r="P7">
        <f t="shared" si="6"/>
        <v>0</v>
      </c>
      <c r="Q7">
        <v>0</v>
      </c>
      <c r="R7">
        <v>7</v>
      </c>
      <c r="S7">
        <f t="shared" si="7"/>
        <v>7</v>
      </c>
      <c r="T7">
        <f t="shared" si="8"/>
        <v>0</v>
      </c>
      <c r="U7">
        <f t="shared" si="9"/>
        <v>16</v>
      </c>
      <c r="V7">
        <f t="shared" si="10"/>
        <v>16</v>
      </c>
    </row>
    <row r="8" spans="1:22" x14ac:dyDescent="0.25">
      <c r="A8" t="s">
        <v>13</v>
      </c>
      <c r="B8">
        <v>0</v>
      </c>
      <c r="C8">
        <v>0</v>
      </c>
      <c r="D8">
        <f t="shared" si="0"/>
        <v>0</v>
      </c>
      <c r="E8">
        <f t="shared" si="1"/>
        <v>0</v>
      </c>
      <c r="F8">
        <v>0</v>
      </c>
      <c r="G8">
        <v>1</v>
      </c>
      <c r="H8">
        <f t="shared" si="2"/>
        <v>1</v>
      </c>
      <c r="I8">
        <f t="shared" si="3"/>
        <v>100</v>
      </c>
      <c r="J8">
        <v>0</v>
      </c>
      <c r="K8">
        <v>0</v>
      </c>
      <c r="L8">
        <f t="shared" si="4"/>
        <v>0</v>
      </c>
      <c r="M8">
        <f t="shared" si="5"/>
        <v>0</v>
      </c>
      <c r="N8">
        <v>0</v>
      </c>
      <c r="O8">
        <v>0</v>
      </c>
      <c r="P8">
        <f t="shared" si="6"/>
        <v>0</v>
      </c>
      <c r="Q8">
        <v>0</v>
      </c>
      <c r="R8">
        <v>0</v>
      </c>
      <c r="S8">
        <f t="shared" si="7"/>
        <v>0</v>
      </c>
      <c r="T8">
        <f t="shared" si="8"/>
        <v>0</v>
      </c>
      <c r="U8">
        <f t="shared" si="9"/>
        <v>1</v>
      </c>
      <c r="V8">
        <f t="shared" si="10"/>
        <v>1</v>
      </c>
    </row>
    <row r="9" spans="1:22" x14ac:dyDescent="0.25">
      <c r="A9" t="s">
        <v>14</v>
      </c>
      <c r="B9">
        <v>5</v>
      </c>
      <c r="C9">
        <v>6</v>
      </c>
      <c r="D9">
        <f t="shared" si="0"/>
        <v>11</v>
      </c>
      <c r="E9">
        <f t="shared" si="1"/>
        <v>18.032800000000002</v>
      </c>
      <c r="F9">
        <v>7</v>
      </c>
      <c r="G9">
        <v>25</v>
      </c>
      <c r="H9">
        <f t="shared" si="2"/>
        <v>32</v>
      </c>
      <c r="I9">
        <f t="shared" si="3"/>
        <v>52.459000000000003</v>
      </c>
      <c r="J9">
        <v>2</v>
      </c>
      <c r="K9">
        <v>16</v>
      </c>
      <c r="L9">
        <f t="shared" si="4"/>
        <v>18</v>
      </c>
      <c r="M9">
        <f t="shared" si="5"/>
        <v>29.508199999999999</v>
      </c>
      <c r="N9">
        <v>0</v>
      </c>
      <c r="O9">
        <v>0</v>
      </c>
      <c r="P9">
        <f t="shared" si="6"/>
        <v>0</v>
      </c>
      <c r="Q9">
        <v>0</v>
      </c>
      <c r="R9">
        <v>12</v>
      </c>
      <c r="S9">
        <f t="shared" si="7"/>
        <v>12</v>
      </c>
      <c r="T9">
        <f t="shared" si="8"/>
        <v>14</v>
      </c>
      <c r="U9">
        <f t="shared" si="9"/>
        <v>47</v>
      </c>
      <c r="V9">
        <f t="shared" si="10"/>
        <v>61</v>
      </c>
    </row>
    <row r="10" spans="1:22" x14ac:dyDescent="0.25">
      <c r="A10" t="s">
        <v>15</v>
      </c>
      <c r="B10">
        <v>0</v>
      </c>
      <c r="C10">
        <v>0</v>
      </c>
      <c r="D10">
        <f t="shared" si="0"/>
        <v>0</v>
      </c>
      <c r="E10" t="str">
        <f t="shared" si="1"/>
        <v/>
      </c>
      <c r="F10">
        <v>0</v>
      </c>
      <c r="G10">
        <v>0</v>
      </c>
      <c r="H10">
        <f t="shared" si="2"/>
        <v>0</v>
      </c>
      <c r="I10" t="str">
        <f t="shared" si="3"/>
        <v/>
      </c>
      <c r="J10">
        <v>0</v>
      </c>
      <c r="K10">
        <v>0</v>
      </c>
      <c r="L10">
        <f t="shared" si="4"/>
        <v>0</v>
      </c>
      <c r="M10" t="str">
        <f t="shared" si="5"/>
        <v/>
      </c>
      <c r="N10">
        <v>0</v>
      </c>
      <c r="O10">
        <v>0</v>
      </c>
      <c r="P10">
        <f t="shared" si="6"/>
        <v>0</v>
      </c>
      <c r="Q10">
        <v>0</v>
      </c>
      <c r="R10">
        <v>2</v>
      </c>
      <c r="S10">
        <f t="shared" si="7"/>
        <v>2</v>
      </c>
      <c r="T10">
        <f t="shared" si="8"/>
        <v>0</v>
      </c>
      <c r="U10">
        <f t="shared" si="9"/>
        <v>0</v>
      </c>
      <c r="V10">
        <f t="shared" si="10"/>
        <v>0</v>
      </c>
    </row>
    <row r="11" spans="1:22" x14ac:dyDescent="0.25">
      <c r="A11" t="s">
        <v>16</v>
      </c>
      <c r="B11">
        <v>1</v>
      </c>
      <c r="C11">
        <v>0</v>
      </c>
      <c r="D11">
        <f t="shared" si="0"/>
        <v>1</v>
      </c>
      <c r="E11">
        <f t="shared" si="1"/>
        <v>25</v>
      </c>
      <c r="F11">
        <v>0</v>
      </c>
      <c r="G11">
        <v>3</v>
      </c>
      <c r="H11">
        <f t="shared" si="2"/>
        <v>3</v>
      </c>
      <c r="I11">
        <f t="shared" si="3"/>
        <v>75</v>
      </c>
      <c r="J11">
        <v>0</v>
      </c>
      <c r="K11">
        <v>0</v>
      </c>
      <c r="L11">
        <f t="shared" si="4"/>
        <v>0</v>
      </c>
      <c r="M11">
        <f t="shared" si="5"/>
        <v>0</v>
      </c>
      <c r="N11">
        <v>0</v>
      </c>
      <c r="O11">
        <v>0</v>
      </c>
      <c r="P11">
        <f t="shared" si="6"/>
        <v>0</v>
      </c>
      <c r="Q11">
        <v>0</v>
      </c>
      <c r="R11">
        <v>0</v>
      </c>
      <c r="S11">
        <f t="shared" si="7"/>
        <v>0</v>
      </c>
      <c r="T11">
        <f t="shared" si="8"/>
        <v>1</v>
      </c>
      <c r="U11">
        <f t="shared" si="9"/>
        <v>3</v>
      </c>
      <c r="V11">
        <f t="shared" si="10"/>
        <v>4</v>
      </c>
    </row>
    <row r="12" spans="1:22" x14ac:dyDescent="0.25">
      <c r="A12" t="s">
        <v>17</v>
      </c>
      <c r="B12">
        <v>0</v>
      </c>
      <c r="C12">
        <v>0</v>
      </c>
      <c r="D12">
        <f t="shared" si="0"/>
        <v>0</v>
      </c>
      <c r="E12">
        <f t="shared" si="1"/>
        <v>0</v>
      </c>
      <c r="F12">
        <v>0</v>
      </c>
      <c r="G12">
        <v>0</v>
      </c>
      <c r="H12">
        <f t="shared" si="2"/>
        <v>0</v>
      </c>
      <c r="I12">
        <f t="shared" si="3"/>
        <v>0</v>
      </c>
      <c r="J12">
        <v>0</v>
      </c>
      <c r="K12">
        <v>1</v>
      </c>
      <c r="L12">
        <f t="shared" si="4"/>
        <v>1</v>
      </c>
      <c r="M12">
        <f t="shared" si="5"/>
        <v>100</v>
      </c>
      <c r="N12">
        <v>0</v>
      </c>
      <c r="O12">
        <v>0</v>
      </c>
      <c r="P12">
        <f t="shared" si="6"/>
        <v>0</v>
      </c>
      <c r="Q12">
        <v>0</v>
      </c>
      <c r="R12">
        <v>0</v>
      </c>
      <c r="S12">
        <f t="shared" si="7"/>
        <v>0</v>
      </c>
      <c r="T12">
        <f t="shared" si="8"/>
        <v>0</v>
      </c>
      <c r="U12">
        <f t="shared" si="9"/>
        <v>1</v>
      </c>
      <c r="V12">
        <f t="shared" si="10"/>
        <v>1</v>
      </c>
    </row>
    <row r="13" spans="1:22" x14ac:dyDescent="0.25">
      <c r="A13" t="s">
        <v>18</v>
      </c>
      <c r="B13">
        <v>0</v>
      </c>
      <c r="C13">
        <v>0</v>
      </c>
      <c r="D13">
        <f t="shared" si="0"/>
        <v>0</v>
      </c>
      <c r="E13" t="str">
        <f t="shared" si="1"/>
        <v/>
      </c>
      <c r="F13">
        <v>0</v>
      </c>
      <c r="G13">
        <v>0</v>
      </c>
      <c r="H13">
        <f t="shared" si="2"/>
        <v>0</v>
      </c>
      <c r="I13" t="str">
        <f t="shared" si="3"/>
        <v/>
      </c>
      <c r="J13">
        <v>0</v>
      </c>
      <c r="K13">
        <v>0</v>
      </c>
      <c r="L13">
        <f t="shared" si="4"/>
        <v>0</v>
      </c>
      <c r="M13" t="str">
        <f t="shared" si="5"/>
        <v/>
      </c>
      <c r="N13">
        <v>0</v>
      </c>
      <c r="O13">
        <v>0</v>
      </c>
      <c r="P13">
        <f t="shared" si="6"/>
        <v>0</v>
      </c>
      <c r="Q13">
        <v>0</v>
      </c>
      <c r="R13">
        <v>0</v>
      </c>
      <c r="S13">
        <f t="shared" si="7"/>
        <v>0</v>
      </c>
      <c r="T13">
        <f t="shared" si="8"/>
        <v>0</v>
      </c>
      <c r="U13">
        <f t="shared" si="9"/>
        <v>0</v>
      </c>
      <c r="V13">
        <f t="shared" si="10"/>
        <v>0</v>
      </c>
    </row>
    <row r="14" spans="1:22" x14ac:dyDescent="0.25">
      <c r="A14" t="s">
        <v>19</v>
      </c>
      <c r="B14">
        <v>0</v>
      </c>
      <c r="C14">
        <v>0</v>
      </c>
      <c r="D14">
        <f t="shared" si="0"/>
        <v>0</v>
      </c>
      <c r="E14">
        <f t="shared" si="1"/>
        <v>0</v>
      </c>
      <c r="F14">
        <v>0</v>
      </c>
      <c r="G14">
        <v>0</v>
      </c>
      <c r="H14">
        <f t="shared" si="2"/>
        <v>0</v>
      </c>
      <c r="I14">
        <f t="shared" si="3"/>
        <v>0</v>
      </c>
      <c r="J14">
        <v>0</v>
      </c>
      <c r="K14">
        <v>1</v>
      </c>
      <c r="L14">
        <f t="shared" si="4"/>
        <v>1</v>
      </c>
      <c r="M14">
        <f t="shared" si="5"/>
        <v>100</v>
      </c>
      <c r="N14">
        <v>0</v>
      </c>
      <c r="O14">
        <v>0</v>
      </c>
      <c r="P14">
        <f t="shared" si="6"/>
        <v>0</v>
      </c>
      <c r="Q14">
        <v>0</v>
      </c>
      <c r="R14">
        <v>0</v>
      </c>
      <c r="S14">
        <f t="shared" si="7"/>
        <v>0</v>
      </c>
      <c r="T14">
        <f t="shared" si="8"/>
        <v>0</v>
      </c>
      <c r="U14">
        <f t="shared" si="9"/>
        <v>1</v>
      </c>
      <c r="V14">
        <f t="shared" si="10"/>
        <v>1</v>
      </c>
    </row>
    <row r="16" spans="1:22" x14ac:dyDescent="0.25">
      <c r="A16" s="8" t="s">
        <v>20</v>
      </c>
      <c r="B16" s="8" t="s">
        <v>20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  <c r="N16" s="8" t="s">
        <v>20</v>
      </c>
      <c r="O16" s="8" t="s">
        <v>20</v>
      </c>
      <c r="P16" s="8" t="s">
        <v>20</v>
      </c>
      <c r="Q16" s="8" t="s">
        <v>20</v>
      </c>
      <c r="R16" s="8" t="s">
        <v>20</v>
      </c>
      <c r="S16" s="8" t="s">
        <v>20</v>
      </c>
      <c r="T16" s="8" t="s">
        <v>20</v>
      </c>
      <c r="U16" s="8" t="s">
        <v>20</v>
      </c>
      <c r="V16" s="8" t="s">
        <v>20</v>
      </c>
    </row>
    <row r="17" spans="1:22" x14ac:dyDescent="0.25">
      <c r="A17" t="s">
        <v>21</v>
      </c>
      <c r="B17">
        <v>0</v>
      </c>
      <c r="C17">
        <v>0</v>
      </c>
      <c r="D17">
        <f t="shared" ref="D17:D41" si="11">B17+C17</f>
        <v>0</v>
      </c>
      <c r="E17" t="str">
        <f t="shared" ref="E17:E41" si="12">IF(V17&gt;0,ROUND((D17/V17) * 100, 4), "")</f>
        <v/>
      </c>
      <c r="F17">
        <v>0</v>
      </c>
      <c r="G17">
        <v>0</v>
      </c>
      <c r="H17">
        <f t="shared" ref="H17:H41" si="13">F17+G17</f>
        <v>0</v>
      </c>
      <c r="I17" t="str">
        <f t="shared" ref="I17:I41" si="14">IF(V17&gt;0,ROUND((H17/V17) * 100, 4), "")</f>
        <v/>
      </c>
      <c r="J17">
        <v>0</v>
      </c>
      <c r="K17">
        <v>0</v>
      </c>
      <c r="L17">
        <f t="shared" ref="L17:L41" si="15">J17+K17</f>
        <v>0</v>
      </c>
      <c r="M17" t="str">
        <f t="shared" ref="M17:M41" si="16">IF(V17&gt;0,ROUND((L17/V17) * 100, 4), "")</f>
        <v/>
      </c>
      <c r="N17">
        <v>0</v>
      </c>
      <c r="O17">
        <v>0</v>
      </c>
      <c r="P17">
        <f t="shared" ref="P17:P41" si="17">N17+O17</f>
        <v>0</v>
      </c>
      <c r="Q17">
        <v>0</v>
      </c>
      <c r="R17">
        <v>0</v>
      </c>
      <c r="S17">
        <f t="shared" ref="S17:S41" si="18">Q17+R17</f>
        <v>0</v>
      </c>
      <c r="T17">
        <f t="shared" ref="T17:T41" si="19">B17+F17+J17</f>
        <v>0</v>
      </c>
      <c r="U17">
        <f t="shared" ref="U17:U41" si="20">C17+G17+K17</f>
        <v>0</v>
      </c>
      <c r="V17">
        <f t="shared" ref="V17:V41" si="21">T17+U17</f>
        <v>0</v>
      </c>
    </row>
    <row r="18" spans="1:22" x14ac:dyDescent="0.25">
      <c r="A18" t="s">
        <v>22</v>
      </c>
      <c r="B18">
        <v>735</v>
      </c>
      <c r="C18">
        <v>11</v>
      </c>
      <c r="D18">
        <f t="shared" si="11"/>
        <v>746</v>
      </c>
      <c r="E18">
        <f t="shared" si="12"/>
        <v>35.155500000000004</v>
      </c>
      <c r="F18">
        <v>1231</v>
      </c>
      <c r="G18">
        <v>4</v>
      </c>
      <c r="H18">
        <f t="shared" si="13"/>
        <v>1235</v>
      </c>
      <c r="I18">
        <f t="shared" si="14"/>
        <v>58.199800000000003</v>
      </c>
      <c r="J18">
        <v>132</v>
      </c>
      <c r="K18">
        <v>9</v>
      </c>
      <c r="L18">
        <f t="shared" si="15"/>
        <v>141</v>
      </c>
      <c r="M18">
        <f t="shared" si="16"/>
        <v>6.6447000000000003</v>
      </c>
      <c r="N18">
        <v>181</v>
      </c>
      <c r="O18">
        <v>2</v>
      </c>
      <c r="P18">
        <f t="shared" si="17"/>
        <v>183</v>
      </c>
      <c r="Q18">
        <v>50</v>
      </c>
      <c r="R18">
        <v>6</v>
      </c>
      <c r="S18">
        <f t="shared" si="18"/>
        <v>56</v>
      </c>
      <c r="T18">
        <f t="shared" si="19"/>
        <v>2098</v>
      </c>
      <c r="U18">
        <f t="shared" si="20"/>
        <v>24</v>
      </c>
      <c r="V18">
        <f t="shared" si="21"/>
        <v>2122</v>
      </c>
    </row>
    <row r="19" spans="1:22" x14ac:dyDescent="0.25">
      <c r="A19" t="s">
        <v>23</v>
      </c>
      <c r="B19">
        <v>0</v>
      </c>
      <c r="C19">
        <v>0</v>
      </c>
      <c r="D19">
        <f t="shared" si="11"/>
        <v>0</v>
      </c>
      <c r="E19" t="str">
        <f t="shared" si="12"/>
        <v/>
      </c>
      <c r="F19">
        <v>0</v>
      </c>
      <c r="G19">
        <v>0</v>
      </c>
      <c r="H19">
        <f t="shared" si="13"/>
        <v>0</v>
      </c>
      <c r="I19" t="str">
        <f t="shared" si="14"/>
        <v/>
      </c>
      <c r="J19">
        <v>0</v>
      </c>
      <c r="K19">
        <v>0</v>
      </c>
      <c r="L19">
        <f t="shared" si="15"/>
        <v>0</v>
      </c>
      <c r="M19" t="str">
        <f t="shared" si="16"/>
        <v/>
      </c>
      <c r="N19">
        <v>0</v>
      </c>
      <c r="O19">
        <v>0</v>
      </c>
      <c r="P19">
        <f t="shared" si="17"/>
        <v>0</v>
      </c>
      <c r="Q19">
        <v>0</v>
      </c>
      <c r="R19">
        <v>0</v>
      </c>
      <c r="S19">
        <f t="shared" si="18"/>
        <v>0</v>
      </c>
      <c r="T19">
        <f t="shared" si="19"/>
        <v>0</v>
      </c>
      <c r="U19">
        <f t="shared" si="20"/>
        <v>0</v>
      </c>
      <c r="V19">
        <f t="shared" si="21"/>
        <v>0</v>
      </c>
    </row>
    <row r="20" spans="1:22" x14ac:dyDescent="0.25">
      <c r="A20" t="s">
        <v>24</v>
      </c>
      <c r="B20">
        <v>0</v>
      </c>
      <c r="C20">
        <v>0</v>
      </c>
      <c r="D20">
        <f t="shared" si="11"/>
        <v>0</v>
      </c>
      <c r="E20">
        <f t="shared" si="12"/>
        <v>0</v>
      </c>
      <c r="F20">
        <v>1</v>
      </c>
      <c r="G20">
        <v>8</v>
      </c>
      <c r="H20">
        <f t="shared" si="13"/>
        <v>9</v>
      </c>
      <c r="I20">
        <f t="shared" si="14"/>
        <v>75</v>
      </c>
      <c r="J20">
        <v>1</v>
      </c>
      <c r="K20">
        <v>2</v>
      </c>
      <c r="L20">
        <f t="shared" si="15"/>
        <v>3</v>
      </c>
      <c r="M20">
        <f t="shared" si="16"/>
        <v>25</v>
      </c>
      <c r="N20">
        <v>1</v>
      </c>
      <c r="O20">
        <v>5</v>
      </c>
      <c r="P20">
        <f t="shared" si="17"/>
        <v>6</v>
      </c>
      <c r="Q20">
        <v>0</v>
      </c>
      <c r="R20">
        <v>3</v>
      </c>
      <c r="S20">
        <f t="shared" si="18"/>
        <v>3</v>
      </c>
      <c r="T20">
        <f t="shared" si="19"/>
        <v>2</v>
      </c>
      <c r="U20">
        <f t="shared" si="20"/>
        <v>10</v>
      </c>
      <c r="V20">
        <f t="shared" si="21"/>
        <v>12</v>
      </c>
    </row>
    <row r="21" spans="1:22" x14ac:dyDescent="0.25">
      <c r="A21" t="s">
        <v>25</v>
      </c>
      <c r="B21">
        <v>3</v>
      </c>
      <c r="C21">
        <v>13</v>
      </c>
      <c r="D21">
        <f t="shared" si="11"/>
        <v>16</v>
      </c>
      <c r="E21">
        <f t="shared" si="12"/>
        <v>7.3733000000000004</v>
      </c>
      <c r="F21">
        <v>26</v>
      </c>
      <c r="G21">
        <v>83</v>
      </c>
      <c r="H21">
        <f t="shared" si="13"/>
        <v>109</v>
      </c>
      <c r="I21">
        <f t="shared" si="14"/>
        <v>50.230400000000003</v>
      </c>
      <c r="J21">
        <v>32</v>
      </c>
      <c r="K21">
        <v>60</v>
      </c>
      <c r="L21">
        <f t="shared" si="15"/>
        <v>92</v>
      </c>
      <c r="M21">
        <f t="shared" si="16"/>
        <v>42.396299999999997</v>
      </c>
      <c r="N21">
        <v>4</v>
      </c>
      <c r="O21">
        <v>15</v>
      </c>
      <c r="P21">
        <f t="shared" si="17"/>
        <v>19</v>
      </c>
      <c r="Q21">
        <v>26</v>
      </c>
      <c r="R21">
        <v>55</v>
      </c>
      <c r="S21">
        <f t="shared" si="18"/>
        <v>81</v>
      </c>
      <c r="T21">
        <f t="shared" si="19"/>
        <v>61</v>
      </c>
      <c r="U21">
        <f t="shared" si="20"/>
        <v>156</v>
      </c>
      <c r="V21">
        <f t="shared" si="21"/>
        <v>217</v>
      </c>
    </row>
    <row r="22" spans="1:22" x14ac:dyDescent="0.25">
      <c r="A22" t="s">
        <v>26</v>
      </c>
      <c r="B22">
        <v>0</v>
      </c>
      <c r="C22">
        <v>0</v>
      </c>
      <c r="D22">
        <f t="shared" si="11"/>
        <v>0</v>
      </c>
      <c r="E22">
        <f t="shared" si="12"/>
        <v>0</v>
      </c>
      <c r="F22">
        <v>0</v>
      </c>
      <c r="G22">
        <v>1</v>
      </c>
      <c r="H22">
        <f t="shared" si="13"/>
        <v>1</v>
      </c>
      <c r="I22">
        <f t="shared" si="14"/>
        <v>100</v>
      </c>
      <c r="J22">
        <v>0</v>
      </c>
      <c r="K22">
        <v>0</v>
      </c>
      <c r="L22">
        <f t="shared" si="15"/>
        <v>0</v>
      </c>
      <c r="M22">
        <f t="shared" si="16"/>
        <v>0</v>
      </c>
      <c r="N22">
        <v>0</v>
      </c>
      <c r="O22">
        <v>0</v>
      </c>
      <c r="P22">
        <f t="shared" si="17"/>
        <v>0</v>
      </c>
      <c r="Q22">
        <v>0</v>
      </c>
      <c r="R22">
        <v>0</v>
      </c>
      <c r="S22">
        <f t="shared" si="18"/>
        <v>0</v>
      </c>
      <c r="T22">
        <f t="shared" si="19"/>
        <v>0</v>
      </c>
      <c r="U22">
        <f t="shared" si="20"/>
        <v>1</v>
      </c>
      <c r="V22">
        <f t="shared" si="21"/>
        <v>1</v>
      </c>
    </row>
    <row r="23" spans="1:22" x14ac:dyDescent="0.25">
      <c r="A23" t="s">
        <v>27</v>
      </c>
      <c r="B23">
        <v>3</v>
      </c>
      <c r="C23">
        <v>9</v>
      </c>
      <c r="D23">
        <f t="shared" si="11"/>
        <v>12</v>
      </c>
      <c r="E23">
        <f t="shared" si="12"/>
        <v>29.2683</v>
      </c>
      <c r="F23">
        <v>4</v>
      </c>
      <c r="G23">
        <v>7</v>
      </c>
      <c r="H23">
        <f t="shared" si="13"/>
        <v>11</v>
      </c>
      <c r="I23">
        <f t="shared" si="14"/>
        <v>26.8293</v>
      </c>
      <c r="J23">
        <v>1</v>
      </c>
      <c r="K23">
        <v>17</v>
      </c>
      <c r="L23">
        <f t="shared" si="15"/>
        <v>18</v>
      </c>
      <c r="M23">
        <f t="shared" si="16"/>
        <v>43.9024</v>
      </c>
      <c r="N23">
        <v>0</v>
      </c>
      <c r="O23">
        <v>0</v>
      </c>
      <c r="P23">
        <f t="shared" si="17"/>
        <v>0</v>
      </c>
      <c r="Q23">
        <v>0</v>
      </c>
      <c r="R23">
        <v>28</v>
      </c>
      <c r="S23">
        <f t="shared" si="18"/>
        <v>28</v>
      </c>
      <c r="T23">
        <f t="shared" si="19"/>
        <v>8</v>
      </c>
      <c r="U23">
        <f t="shared" si="20"/>
        <v>33</v>
      </c>
      <c r="V23">
        <f t="shared" si="21"/>
        <v>41</v>
      </c>
    </row>
    <row r="24" spans="1:22" x14ac:dyDescent="0.25">
      <c r="A24" t="s">
        <v>28</v>
      </c>
      <c r="B24">
        <v>0</v>
      </c>
      <c r="C24">
        <v>0</v>
      </c>
      <c r="D24">
        <f t="shared" si="11"/>
        <v>0</v>
      </c>
      <c r="E24">
        <f t="shared" si="12"/>
        <v>0</v>
      </c>
      <c r="F24">
        <v>0</v>
      </c>
      <c r="G24">
        <v>1</v>
      </c>
      <c r="H24">
        <f t="shared" si="13"/>
        <v>1</v>
      </c>
      <c r="I24">
        <f t="shared" si="14"/>
        <v>33.333300000000001</v>
      </c>
      <c r="J24">
        <v>0</v>
      </c>
      <c r="K24">
        <v>2</v>
      </c>
      <c r="L24">
        <f t="shared" si="15"/>
        <v>2</v>
      </c>
      <c r="M24">
        <f t="shared" si="16"/>
        <v>66.666700000000006</v>
      </c>
      <c r="N24">
        <v>0</v>
      </c>
      <c r="O24">
        <v>0</v>
      </c>
      <c r="P24">
        <f t="shared" si="17"/>
        <v>0</v>
      </c>
      <c r="Q24">
        <v>0</v>
      </c>
      <c r="R24">
        <v>0</v>
      </c>
      <c r="S24">
        <f t="shared" si="18"/>
        <v>0</v>
      </c>
      <c r="T24">
        <f t="shared" si="19"/>
        <v>0</v>
      </c>
      <c r="U24">
        <f t="shared" si="20"/>
        <v>3</v>
      </c>
      <c r="V24">
        <f t="shared" si="21"/>
        <v>3</v>
      </c>
    </row>
    <row r="25" spans="1:22" x14ac:dyDescent="0.25">
      <c r="A25" t="s">
        <v>29</v>
      </c>
      <c r="B25">
        <v>2</v>
      </c>
      <c r="C25">
        <v>7</v>
      </c>
      <c r="D25">
        <f t="shared" si="11"/>
        <v>9</v>
      </c>
      <c r="E25">
        <f t="shared" si="12"/>
        <v>6.8182</v>
      </c>
      <c r="F25">
        <v>72</v>
      </c>
      <c r="G25">
        <v>17</v>
      </c>
      <c r="H25">
        <f t="shared" si="13"/>
        <v>89</v>
      </c>
      <c r="I25">
        <f t="shared" si="14"/>
        <v>67.424199999999999</v>
      </c>
      <c r="J25">
        <v>17</v>
      </c>
      <c r="K25">
        <v>17</v>
      </c>
      <c r="L25">
        <f t="shared" si="15"/>
        <v>34</v>
      </c>
      <c r="M25">
        <f t="shared" si="16"/>
        <v>25.7576</v>
      </c>
      <c r="N25">
        <v>4</v>
      </c>
      <c r="O25">
        <v>1</v>
      </c>
      <c r="P25">
        <f t="shared" si="17"/>
        <v>5</v>
      </c>
      <c r="Q25">
        <v>9</v>
      </c>
      <c r="R25">
        <v>7</v>
      </c>
      <c r="S25">
        <f t="shared" si="18"/>
        <v>16</v>
      </c>
      <c r="T25">
        <f t="shared" si="19"/>
        <v>91</v>
      </c>
      <c r="U25">
        <f t="shared" si="20"/>
        <v>41</v>
      </c>
      <c r="V25">
        <f t="shared" si="21"/>
        <v>132</v>
      </c>
    </row>
    <row r="26" spans="1:22" x14ac:dyDescent="0.25">
      <c r="A26" t="s">
        <v>30</v>
      </c>
      <c r="B26">
        <v>0</v>
      </c>
      <c r="C26">
        <v>0</v>
      </c>
      <c r="D26">
        <f t="shared" si="11"/>
        <v>0</v>
      </c>
      <c r="E26" t="str">
        <f t="shared" si="12"/>
        <v/>
      </c>
      <c r="F26">
        <v>0</v>
      </c>
      <c r="G26">
        <v>0</v>
      </c>
      <c r="H26">
        <f t="shared" si="13"/>
        <v>0</v>
      </c>
      <c r="I26" t="str">
        <f t="shared" si="14"/>
        <v/>
      </c>
      <c r="J26">
        <v>0</v>
      </c>
      <c r="K26">
        <v>0</v>
      </c>
      <c r="L26">
        <f t="shared" si="15"/>
        <v>0</v>
      </c>
      <c r="M26" t="str">
        <f t="shared" si="16"/>
        <v/>
      </c>
      <c r="N26">
        <v>0</v>
      </c>
      <c r="O26">
        <v>0</v>
      </c>
      <c r="P26">
        <f t="shared" si="17"/>
        <v>0</v>
      </c>
      <c r="Q26">
        <v>0</v>
      </c>
      <c r="R26">
        <v>0</v>
      </c>
      <c r="S26">
        <f t="shared" si="18"/>
        <v>0</v>
      </c>
      <c r="T26">
        <f t="shared" si="19"/>
        <v>0</v>
      </c>
      <c r="U26">
        <f t="shared" si="20"/>
        <v>0</v>
      </c>
      <c r="V26">
        <f t="shared" si="21"/>
        <v>0</v>
      </c>
    </row>
    <row r="27" spans="1:22" x14ac:dyDescent="0.25">
      <c r="A27" t="s">
        <v>31</v>
      </c>
      <c r="B27">
        <v>0</v>
      </c>
      <c r="C27">
        <v>0</v>
      </c>
      <c r="D27">
        <f t="shared" si="11"/>
        <v>0</v>
      </c>
      <c r="E27" t="str">
        <f t="shared" si="12"/>
        <v/>
      </c>
      <c r="F27">
        <v>0</v>
      </c>
      <c r="G27">
        <v>0</v>
      </c>
      <c r="H27">
        <f t="shared" si="13"/>
        <v>0</v>
      </c>
      <c r="I27" t="str">
        <f t="shared" si="14"/>
        <v/>
      </c>
      <c r="J27">
        <v>0</v>
      </c>
      <c r="K27">
        <v>0</v>
      </c>
      <c r="L27">
        <f t="shared" si="15"/>
        <v>0</v>
      </c>
      <c r="M27" t="str">
        <f t="shared" si="16"/>
        <v/>
      </c>
      <c r="N27">
        <v>0</v>
      </c>
      <c r="O27">
        <v>0</v>
      </c>
      <c r="P27">
        <f t="shared" si="17"/>
        <v>0</v>
      </c>
      <c r="Q27">
        <v>0</v>
      </c>
      <c r="R27">
        <v>0</v>
      </c>
      <c r="S27">
        <f t="shared" si="18"/>
        <v>0</v>
      </c>
      <c r="T27">
        <f t="shared" si="19"/>
        <v>0</v>
      </c>
      <c r="U27">
        <f t="shared" si="20"/>
        <v>0</v>
      </c>
      <c r="V27">
        <f t="shared" si="21"/>
        <v>0</v>
      </c>
    </row>
    <row r="28" spans="1:22" x14ac:dyDescent="0.25">
      <c r="A28" t="s">
        <v>32</v>
      </c>
      <c r="B28">
        <v>0</v>
      </c>
      <c r="C28">
        <v>0</v>
      </c>
      <c r="D28">
        <f t="shared" si="11"/>
        <v>0</v>
      </c>
      <c r="E28" t="str">
        <f t="shared" si="12"/>
        <v/>
      </c>
      <c r="F28">
        <v>0</v>
      </c>
      <c r="G28">
        <v>0</v>
      </c>
      <c r="H28">
        <f t="shared" si="13"/>
        <v>0</v>
      </c>
      <c r="I28" t="str">
        <f t="shared" si="14"/>
        <v/>
      </c>
      <c r="J28">
        <v>0</v>
      </c>
      <c r="K28">
        <v>0</v>
      </c>
      <c r="L28">
        <f t="shared" si="15"/>
        <v>0</v>
      </c>
      <c r="M28" t="str">
        <f t="shared" si="16"/>
        <v/>
      </c>
      <c r="N28">
        <v>0</v>
      </c>
      <c r="O28">
        <v>0</v>
      </c>
      <c r="P28">
        <f t="shared" si="17"/>
        <v>0</v>
      </c>
      <c r="Q28">
        <v>0</v>
      </c>
      <c r="R28">
        <v>0</v>
      </c>
      <c r="S28">
        <f t="shared" si="18"/>
        <v>0</v>
      </c>
      <c r="T28">
        <f t="shared" si="19"/>
        <v>0</v>
      </c>
      <c r="U28">
        <f t="shared" si="20"/>
        <v>0</v>
      </c>
      <c r="V28">
        <f t="shared" si="21"/>
        <v>0</v>
      </c>
    </row>
    <row r="29" spans="1:22" x14ac:dyDescent="0.25">
      <c r="A29" t="s">
        <v>33</v>
      </c>
      <c r="B29">
        <v>0</v>
      </c>
      <c r="C29">
        <v>0</v>
      </c>
      <c r="D29">
        <f t="shared" si="11"/>
        <v>0</v>
      </c>
      <c r="E29">
        <f t="shared" si="12"/>
        <v>0</v>
      </c>
      <c r="F29">
        <v>0</v>
      </c>
      <c r="G29">
        <v>4</v>
      </c>
      <c r="H29">
        <f t="shared" si="13"/>
        <v>4</v>
      </c>
      <c r="I29">
        <f t="shared" si="14"/>
        <v>21.052600000000002</v>
      </c>
      <c r="J29">
        <v>0</v>
      </c>
      <c r="K29">
        <v>15</v>
      </c>
      <c r="L29">
        <f t="shared" si="15"/>
        <v>15</v>
      </c>
      <c r="M29">
        <f t="shared" si="16"/>
        <v>78.947400000000002</v>
      </c>
      <c r="N29">
        <v>0</v>
      </c>
      <c r="O29">
        <v>4</v>
      </c>
      <c r="P29">
        <f t="shared" si="17"/>
        <v>4</v>
      </c>
      <c r="Q29">
        <v>0</v>
      </c>
      <c r="R29">
        <v>1</v>
      </c>
      <c r="S29">
        <f t="shared" si="18"/>
        <v>1</v>
      </c>
      <c r="T29">
        <f t="shared" si="19"/>
        <v>0</v>
      </c>
      <c r="U29">
        <f t="shared" si="20"/>
        <v>19</v>
      </c>
      <c r="V29">
        <f t="shared" si="21"/>
        <v>19</v>
      </c>
    </row>
    <row r="30" spans="1:22" x14ac:dyDescent="0.25">
      <c r="A30" t="s">
        <v>34</v>
      </c>
      <c r="B30">
        <v>0</v>
      </c>
      <c r="C30">
        <v>0</v>
      </c>
      <c r="D30">
        <f t="shared" si="11"/>
        <v>0</v>
      </c>
      <c r="E30">
        <f t="shared" si="12"/>
        <v>0</v>
      </c>
      <c r="F30">
        <v>0</v>
      </c>
      <c r="G30">
        <v>3</v>
      </c>
      <c r="H30">
        <f t="shared" si="13"/>
        <v>3</v>
      </c>
      <c r="I30">
        <f t="shared" si="14"/>
        <v>17.647099999999998</v>
      </c>
      <c r="J30">
        <v>0</v>
      </c>
      <c r="K30">
        <v>14</v>
      </c>
      <c r="L30">
        <f t="shared" si="15"/>
        <v>14</v>
      </c>
      <c r="M30">
        <f t="shared" si="16"/>
        <v>82.352900000000005</v>
      </c>
      <c r="N30">
        <v>0</v>
      </c>
      <c r="O30">
        <v>3</v>
      </c>
      <c r="P30">
        <f t="shared" si="17"/>
        <v>3</v>
      </c>
      <c r="Q30">
        <v>0</v>
      </c>
      <c r="R30">
        <v>0</v>
      </c>
      <c r="S30">
        <f t="shared" si="18"/>
        <v>0</v>
      </c>
      <c r="T30">
        <f t="shared" si="19"/>
        <v>0</v>
      </c>
      <c r="U30">
        <f t="shared" si="20"/>
        <v>17</v>
      </c>
      <c r="V30">
        <f t="shared" si="21"/>
        <v>17</v>
      </c>
    </row>
    <row r="31" spans="1:22" x14ac:dyDescent="0.25">
      <c r="A31" t="s">
        <v>35</v>
      </c>
      <c r="B31">
        <v>0</v>
      </c>
      <c r="C31">
        <v>3</v>
      </c>
      <c r="D31">
        <f t="shared" si="11"/>
        <v>3</v>
      </c>
      <c r="E31">
        <f t="shared" si="12"/>
        <v>11.538500000000001</v>
      </c>
      <c r="F31">
        <v>2</v>
      </c>
      <c r="G31">
        <v>1</v>
      </c>
      <c r="H31">
        <f t="shared" si="13"/>
        <v>3</v>
      </c>
      <c r="I31">
        <f t="shared" si="14"/>
        <v>11.538500000000001</v>
      </c>
      <c r="J31">
        <v>2</v>
      </c>
      <c r="K31">
        <v>18</v>
      </c>
      <c r="L31">
        <f t="shared" si="15"/>
        <v>20</v>
      </c>
      <c r="M31">
        <f t="shared" si="16"/>
        <v>76.923100000000005</v>
      </c>
      <c r="N31">
        <v>1</v>
      </c>
      <c r="O31">
        <v>5</v>
      </c>
      <c r="P31">
        <f t="shared" si="17"/>
        <v>6</v>
      </c>
      <c r="Q31">
        <v>0</v>
      </c>
      <c r="R31">
        <v>1</v>
      </c>
      <c r="S31">
        <f t="shared" si="18"/>
        <v>1</v>
      </c>
      <c r="T31">
        <f t="shared" si="19"/>
        <v>4</v>
      </c>
      <c r="U31">
        <f t="shared" si="20"/>
        <v>22</v>
      </c>
      <c r="V31">
        <f t="shared" si="21"/>
        <v>26</v>
      </c>
    </row>
    <row r="32" spans="1:22" x14ac:dyDescent="0.25">
      <c r="A32" t="s">
        <v>36</v>
      </c>
      <c r="B32">
        <v>0</v>
      </c>
      <c r="C32">
        <v>1</v>
      </c>
      <c r="D32">
        <f t="shared" si="11"/>
        <v>1</v>
      </c>
      <c r="E32">
        <f t="shared" si="12"/>
        <v>7.1429</v>
      </c>
      <c r="F32">
        <v>1</v>
      </c>
      <c r="G32">
        <v>6</v>
      </c>
      <c r="H32">
        <f t="shared" si="13"/>
        <v>7</v>
      </c>
      <c r="I32">
        <f t="shared" si="14"/>
        <v>50</v>
      </c>
      <c r="J32">
        <v>2</v>
      </c>
      <c r="K32">
        <v>4</v>
      </c>
      <c r="L32">
        <f t="shared" si="15"/>
        <v>6</v>
      </c>
      <c r="M32">
        <f t="shared" si="16"/>
        <v>42.857100000000003</v>
      </c>
      <c r="N32">
        <v>0</v>
      </c>
      <c r="O32">
        <v>0</v>
      </c>
      <c r="P32">
        <f t="shared" si="17"/>
        <v>0</v>
      </c>
      <c r="Q32">
        <v>1</v>
      </c>
      <c r="R32">
        <v>0</v>
      </c>
      <c r="S32">
        <f t="shared" si="18"/>
        <v>1</v>
      </c>
      <c r="T32">
        <f t="shared" si="19"/>
        <v>3</v>
      </c>
      <c r="U32">
        <f t="shared" si="20"/>
        <v>11</v>
      </c>
      <c r="V32">
        <f t="shared" si="21"/>
        <v>14</v>
      </c>
    </row>
    <row r="33" spans="1:22" x14ac:dyDescent="0.25">
      <c r="A33" t="s">
        <v>37</v>
      </c>
      <c r="B33">
        <v>0</v>
      </c>
      <c r="C33">
        <v>0</v>
      </c>
      <c r="D33">
        <f t="shared" si="11"/>
        <v>0</v>
      </c>
      <c r="E33">
        <f t="shared" si="12"/>
        <v>0</v>
      </c>
      <c r="F33">
        <v>3</v>
      </c>
      <c r="G33">
        <v>1</v>
      </c>
      <c r="H33">
        <f t="shared" si="13"/>
        <v>4</v>
      </c>
      <c r="I33">
        <f t="shared" si="14"/>
        <v>36.363599999999998</v>
      </c>
      <c r="J33">
        <v>1</v>
      </c>
      <c r="K33">
        <v>6</v>
      </c>
      <c r="L33">
        <f t="shared" si="15"/>
        <v>7</v>
      </c>
      <c r="M33">
        <f t="shared" si="16"/>
        <v>63.636400000000002</v>
      </c>
      <c r="N33">
        <v>0</v>
      </c>
      <c r="O33">
        <v>0</v>
      </c>
      <c r="P33">
        <f t="shared" si="17"/>
        <v>0</v>
      </c>
      <c r="Q33">
        <v>1</v>
      </c>
      <c r="R33">
        <v>1</v>
      </c>
      <c r="S33">
        <f t="shared" si="18"/>
        <v>2</v>
      </c>
      <c r="T33">
        <f t="shared" si="19"/>
        <v>4</v>
      </c>
      <c r="U33">
        <f t="shared" si="20"/>
        <v>7</v>
      </c>
      <c r="V33">
        <f t="shared" si="21"/>
        <v>11</v>
      </c>
    </row>
    <row r="34" spans="1:22" x14ac:dyDescent="0.25">
      <c r="A34" t="s">
        <v>38</v>
      </c>
      <c r="B34">
        <v>0</v>
      </c>
      <c r="C34">
        <v>5</v>
      </c>
      <c r="D34">
        <f t="shared" si="11"/>
        <v>5</v>
      </c>
      <c r="E34">
        <f t="shared" si="12"/>
        <v>7.8125</v>
      </c>
      <c r="F34">
        <v>21</v>
      </c>
      <c r="G34">
        <v>22</v>
      </c>
      <c r="H34">
        <f t="shared" si="13"/>
        <v>43</v>
      </c>
      <c r="I34">
        <f t="shared" si="14"/>
        <v>67.1875</v>
      </c>
      <c r="J34">
        <v>3</v>
      </c>
      <c r="K34">
        <v>13</v>
      </c>
      <c r="L34">
        <f t="shared" si="15"/>
        <v>16</v>
      </c>
      <c r="M34">
        <f t="shared" si="16"/>
        <v>25</v>
      </c>
      <c r="N34">
        <v>0</v>
      </c>
      <c r="O34">
        <v>1</v>
      </c>
      <c r="P34">
        <f t="shared" si="17"/>
        <v>1</v>
      </c>
      <c r="Q34">
        <v>3</v>
      </c>
      <c r="R34">
        <v>0</v>
      </c>
      <c r="S34">
        <f t="shared" si="18"/>
        <v>3</v>
      </c>
      <c r="T34">
        <f t="shared" si="19"/>
        <v>24</v>
      </c>
      <c r="U34">
        <f t="shared" si="20"/>
        <v>40</v>
      </c>
      <c r="V34">
        <f t="shared" si="21"/>
        <v>64</v>
      </c>
    </row>
    <row r="35" spans="1:22" x14ac:dyDescent="0.25">
      <c r="A35" t="s">
        <v>39</v>
      </c>
      <c r="B35">
        <v>0</v>
      </c>
      <c r="C35">
        <v>0</v>
      </c>
      <c r="D35">
        <f t="shared" si="11"/>
        <v>0</v>
      </c>
      <c r="E35">
        <f t="shared" si="12"/>
        <v>0</v>
      </c>
      <c r="F35">
        <v>0</v>
      </c>
      <c r="G35">
        <v>1</v>
      </c>
      <c r="H35">
        <f t="shared" si="13"/>
        <v>1</v>
      </c>
      <c r="I35">
        <f t="shared" si="14"/>
        <v>100</v>
      </c>
      <c r="J35">
        <v>0</v>
      </c>
      <c r="K35">
        <v>0</v>
      </c>
      <c r="L35">
        <f t="shared" si="15"/>
        <v>0</v>
      </c>
      <c r="M35">
        <f t="shared" si="16"/>
        <v>0</v>
      </c>
      <c r="N35">
        <v>0</v>
      </c>
      <c r="O35">
        <v>0</v>
      </c>
      <c r="P35">
        <f t="shared" si="17"/>
        <v>0</v>
      </c>
      <c r="Q35">
        <v>0</v>
      </c>
      <c r="R35">
        <v>0</v>
      </c>
      <c r="S35">
        <f t="shared" si="18"/>
        <v>0</v>
      </c>
      <c r="T35">
        <f t="shared" si="19"/>
        <v>0</v>
      </c>
      <c r="U35">
        <f t="shared" si="20"/>
        <v>1</v>
      </c>
      <c r="V35">
        <f t="shared" si="21"/>
        <v>1</v>
      </c>
    </row>
    <row r="36" spans="1:22" x14ac:dyDescent="0.25">
      <c r="A36" t="s">
        <v>40</v>
      </c>
      <c r="B36">
        <v>0</v>
      </c>
      <c r="C36">
        <v>3</v>
      </c>
      <c r="D36">
        <f t="shared" si="11"/>
        <v>3</v>
      </c>
      <c r="E36">
        <f t="shared" si="12"/>
        <v>20</v>
      </c>
      <c r="F36">
        <v>0</v>
      </c>
      <c r="G36">
        <v>2</v>
      </c>
      <c r="H36">
        <f t="shared" si="13"/>
        <v>2</v>
      </c>
      <c r="I36">
        <f t="shared" si="14"/>
        <v>13.333299999999999</v>
      </c>
      <c r="J36">
        <v>0</v>
      </c>
      <c r="K36">
        <v>10</v>
      </c>
      <c r="L36">
        <f t="shared" si="15"/>
        <v>10</v>
      </c>
      <c r="M36">
        <f t="shared" si="16"/>
        <v>66.666700000000006</v>
      </c>
      <c r="N36">
        <v>0</v>
      </c>
      <c r="O36">
        <v>1</v>
      </c>
      <c r="P36">
        <f t="shared" si="17"/>
        <v>1</v>
      </c>
      <c r="Q36">
        <v>0</v>
      </c>
      <c r="R36">
        <v>3</v>
      </c>
      <c r="S36">
        <f t="shared" si="18"/>
        <v>3</v>
      </c>
      <c r="T36">
        <f t="shared" si="19"/>
        <v>0</v>
      </c>
      <c r="U36">
        <f t="shared" si="20"/>
        <v>15</v>
      </c>
      <c r="V36">
        <f t="shared" si="21"/>
        <v>15</v>
      </c>
    </row>
    <row r="37" spans="1:22" x14ac:dyDescent="0.25">
      <c r="A37" t="s">
        <v>41</v>
      </c>
      <c r="B37">
        <v>11</v>
      </c>
      <c r="C37">
        <v>6</v>
      </c>
      <c r="D37">
        <f t="shared" si="11"/>
        <v>17</v>
      </c>
      <c r="E37">
        <f t="shared" si="12"/>
        <v>8.7179000000000002</v>
      </c>
      <c r="F37">
        <v>33</v>
      </c>
      <c r="G37">
        <v>33</v>
      </c>
      <c r="H37">
        <f t="shared" si="13"/>
        <v>66</v>
      </c>
      <c r="I37">
        <f t="shared" si="14"/>
        <v>33.846200000000003</v>
      </c>
      <c r="J37">
        <v>58</v>
      </c>
      <c r="K37">
        <v>54</v>
      </c>
      <c r="L37">
        <f t="shared" si="15"/>
        <v>112</v>
      </c>
      <c r="M37">
        <f t="shared" si="16"/>
        <v>57.435899999999997</v>
      </c>
      <c r="N37">
        <v>33</v>
      </c>
      <c r="O37">
        <v>13</v>
      </c>
      <c r="P37">
        <f t="shared" si="17"/>
        <v>46</v>
      </c>
      <c r="Q37">
        <v>51</v>
      </c>
      <c r="R37">
        <v>27</v>
      </c>
      <c r="S37">
        <f t="shared" si="18"/>
        <v>78</v>
      </c>
      <c r="T37">
        <f t="shared" si="19"/>
        <v>102</v>
      </c>
      <c r="U37">
        <f t="shared" si="20"/>
        <v>93</v>
      </c>
      <c r="V37">
        <f t="shared" si="21"/>
        <v>195</v>
      </c>
    </row>
    <row r="38" spans="1:22" x14ac:dyDescent="0.25">
      <c r="A38" t="s">
        <v>42</v>
      </c>
      <c r="B38">
        <v>2</v>
      </c>
      <c r="C38">
        <v>1</v>
      </c>
      <c r="D38">
        <f t="shared" si="11"/>
        <v>3</v>
      </c>
      <c r="E38">
        <f t="shared" si="12"/>
        <v>23.076899999999998</v>
      </c>
      <c r="F38">
        <v>4</v>
      </c>
      <c r="G38">
        <v>0</v>
      </c>
      <c r="H38">
        <f t="shared" si="13"/>
        <v>4</v>
      </c>
      <c r="I38">
        <f t="shared" si="14"/>
        <v>30.769200000000001</v>
      </c>
      <c r="J38">
        <v>6</v>
      </c>
      <c r="K38">
        <v>0</v>
      </c>
      <c r="L38">
        <f t="shared" si="15"/>
        <v>6</v>
      </c>
      <c r="M38">
        <f t="shared" si="16"/>
        <v>46.153799999999997</v>
      </c>
      <c r="N38">
        <v>1</v>
      </c>
      <c r="O38">
        <v>0</v>
      </c>
      <c r="P38">
        <f t="shared" si="17"/>
        <v>1</v>
      </c>
      <c r="Q38">
        <v>1</v>
      </c>
      <c r="R38">
        <v>0</v>
      </c>
      <c r="S38">
        <f t="shared" si="18"/>
        <v>1</v>
      </c>
      <c r="T38">
        <f t="shared" si="19"/>
        <v>12</v>
      </c>
      <c r="U38">
        <f t="shared" si="20"/>
        <v>1</v>
      </c>
      <c r="V38">
        <f t="shared" si="21"/>
        <v>13</v>
      </c>
    </row>
    <row r="39" spans="1:22" x14ac:dyDescent="0.25">
      <c r="A39" t="s">
        <v>43</v>
      </c>
      <c r="B39">
        <v>0</v>
      </c>
      <c r="C39">
        <v>0</v>
      </c>
      <c r="D39">
        <f t="shared" si="11"/>
        <v>0</v>
      </c>
      <c r="E39" t="str">
        <f t="shared" si="12"/>
        <v/>
      </c>
      <c r="F39">
        <v>0</v>
      </c>
      <c r="G39">
        <v>0</v>
      </c>
      <c r="H39">
        <f t="shared" si="13"/>
        <v>0</v>
      </c>
      <c r="I39" t="str">
        <f t="shared" si="14"/>
        <v/>
      </c>
      <c r="J39">
        <v>0</v>
      </c>
      <c r="K39">
        <v>0</v>
      </c>
      <c r="L39">
        <f t="shared" si="15"/>
        <v>0</v>
      </c>
      <c r="M39" t="str">
        <f t="shared" si="16"/>
        <v/>
      </c>
      <c r="N39">
        <v>0</v>
      </c>
      <c r="O39">
        <v>0</v>
      </c>
      <c r="P39">
        <f t="shared" si="17"/>
        <v>0</v>
      </c>
      <c r="Q39">
        <v>0</v>
      </c>
      <c r="R39">
        <v>0</v>
      </c>
      <c r="S39">
        <f t="shared" si="18"/>
        <v>0</v>
      </c>
      <c r="T39">
        <f t="shared" si="19"/>
        <v>0</v>
      </c>
      <c r="U39">
        <f t="shared" si="20"/>
        <v>0</v>
      </c>
      <c r="V39">
        <f t="shared" si="21"/>
        <v>0</v>
      </c>
    </row>
    <row r="40" spans="1:22" x14ac:dyDescent="0.25">
      <c r="A40" t="s">
        <v>44</v>
      </c>
      <c r="B40">
        <v>0</v>
      </c>
      <c r="C40">
        <v>0</v>
      </c>
      <c r="D40">
        <f t="shared" si="11"/>
        <v>0</v>
      </c>
      <c r="E40">
        <f t="shared" si="12"/>
        <v>0</v>
      </c>
      <c r="F40">
        <v>0</v>
      </c>
      <c r="G40">
        <v>0</v>
      </c>
      <c r="H40">
        <f t="shared" si="13"/>
        <v>0</v>
      </c>
      <c r="I40">
        <f t="shared" si="14"/>
        <v>0</v>
      </c>
      <c r="J40">
        <v>0</v>
      </c>
      <c r="K40">
        <v>4</v>
      </c>
      <c r="L40">
        <f t="shared" si="15"/>
        <v>4</v>
      </c>
      <c r="M40">
        <f t="shared" si="16"/>
        <v>100</v>
      </c>
      <c r="N40">
        <v>0</v>
      </c>
      <c r="O40">
        <v>0</v>
      </c>
      <c r="P40">
        <f t="shared" si="17"/>
        <v>0</v>
      </c>
      <c r="Q40">
        <v>1</v>
      </c>
      <c r="R40">
        <v>0</v>
      </c>
      <c r="S40">
        <f t="shared" si="18"/>
        <v>1</v>
      </c>
      <c r="T40">
        <f t="shared" si="19"/>
        <v>0</v>
      </c>
      <c r="U40">
        <f t="shared" si="20"/>
        <v>4</v>
      </c>
      <c r="V40">
        <f t="shared" si="21"/>
        <v>4</v>
      </c>
    </row>
    <row r="41" spans="1:22" x14ac:dyDescent="0.25">
      <c r="A41" t="s">
        <v>45</v>
      </c>
      <c r="B41">
        <v>0</v>
      </c>
      <c r="C41">
        <v>0</v>
      </c>
      <c r="D41">
        <f t="shared" si="11"/>
        <v>0</v>
      </c>
      <c r="E41">
        <f t="shared" si="12"/>
        <v>0</v>
      </c>
      <c r="F41">
        <v>0</v>
      </c>
      <c r="G41">
        <v>0</v>
      </c>
      <c r="H41">
        <f t="shared" si="13"/>
        <v>0</v>
      </c>
      <c r="I41">
        <f t="shared" si="14"/>
        <v>0</v>
      </c>
      <c r="J41">
        <v>0</v>
      </c>
      <c r="K41">
        <v>1</v>
      </c>
      <c r="L41">
        <f t="shared" si="15"/>
        <v>1</v>
      </c>
      <c r="M41">
        <f t="shared" si="16"/>
        <v>100</v>
      </c>
      <c r="N41">
        <v>0</v>
      </c>
      <c r="O41">
        <v>0</v>
      </c>
      <c r="P41">
        <f t="shared" si="17"/>
        <v>0</v>
      </c>
      <c r="Q41">
        <v>0</v>
      </c>
      <c r="R41">
        <v>0</v>
      </c>
      <c r="S41">
        <f t="shared" si="18"/>
        <v>0</v>
      </c>
      <c r="T41">
        <f t="shared" si="19"/>
        <v>0</v>
      </c>
      <c r="U41">
        <f t="shared" si="20"/>
        <v>1</v>
      </c>
      <c r="V41">
        <f t="shared" si="21"/>
        <v>1</v>
      </c>
    </row>
    <row r="43" spans="1:22" x14ac:dyDescent="0.25">
      <c r="A43" s="8" t="s">
        <v>46</v>
      </c>
      <c r="B43" s="8" t="s">
        <v>46</v>
      </c>
      <c r="C43" s="8" t="s">
        <v>46</v>
      </c>
      <c r="D43" s="8" t="s">
        <v>46</v>
      </c>
      <c r="E43" s="8" t="s">
        <v>46</v>
      </c>
      <c r="F43" s="8" t="s">
        <v>46</v>
      </c>
      <c r="G43" s="8" t="s">
        <v>46</v>
      </c>
      <c r="H43" s="8" t="s">
        <v>46</v>
      </c>
      <c r="I43" s="8" t="s">
        <v>46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 t="s">
        <v>46</v>
      </c>
      <c r="R43" s="8" t="s">
        <v>46</v>
      </c>
      <c r="S43" s="8" t="s">
        <v>46</v>
      </c>
      <c r="T43" s="8" t="s">
        <v>46</v>
      </c>
      <c r="U43" s="8" t="s">
        <v>46</v>
      </c>
      <c r="V43" s="8" t="s">
        <v>46</v>
      </c>
    </row>
    <row r="44" spans="1:22" x14ac:dyDescent="0.25">
      <c r="A44" t="s">
        <v>47</v>
      </c>
      <c r="B44">
        <v>0</v>
      </c>
      <c r="C44">
        <v>1</v>
      </c>
      <c r="D44">
        <f t="shared" ref="D44:D59" si="22">B44+C44</f>
        <v>1</v>
      </c>
      <c r="E44">
        <f t="shared" ref="E44:E59" si="23">IF(V44&gt;0,ROUND((D44/V44) * 100, 4), "")</f>
        <v>33.333300000000001</v>
      </c>
      <c r="F44">
        <v>0</v>
      </c>
      <c r="G44">
        <v>1</v>
      </c>
      <c r="H44">
        <f t="shared" ref="H44:H59" si="24">F44+G44</f>
        <v>1</v>
      </c>
      <c r="I44">
        <f t="shared" ref="I44:I59" si="25">IF(V44&gt;0,ROUND((H44/V44) * 100, 4), "")</f>
        <v>33.333300000000001</v>
      </c>
      <c r="J44">
        <v>0</v>
      </c>
      <c r="K44">
        <v>1</v>
      </c>
      <c r="L44">
        <f t="shared" ref="L44:L59" si="26">J44+K44</f>
        <v>1</v>
      </c>
      <c r="M44">
        <f t="shared" ref="M44:M59" si="27">IF(V44&gt;0,ROUND((L44/V44) * 100, 4), "")</f>
        <v>33.333300000000001</v>
      </c>
      <c r="N44">
        <v>0</v>
      </c>
      <c r="O44">
        <v>0</v>
      </c>
      <c r="P44">
        <f t="shared" ref="P44:P59" si="28">N44+O44</f>
        <v>0</v>
      </c>
      <c r="Q44">
        <v>0</v>
      </c>
      <c r="R44">
        <v>2</v>
      </c>
      <c r="S44">
        <f t="shared" ref="S44:S59" si="29">Q44+R44</f>
        <v>2</v>
      </c>
      <c r="T44">
        <f t="shared" ref="T44:T59" si="30">B44+F44+J44</f>
        <v>0</v>
      </c>
      <c r="U44">
        <f t="shared" ref="U44:U59" si="31">C44+G44+K44</f>
        <v>3</v>
      </c>
      <c r="V44">
        <f t="shared" ref="V44:V59" si="32">T44+U44</f>
        <v>3</v>
      </c>
    </row>
    <row r="45" spans="1:22" x14ac:dyDescent="0.25">
      <c r="A45" t="s">
        <v>48</v>
      </c>
      <c r="B45">
        <v>0</v>
      </c>
      <c r="C45">
        <v>0</v>
      </c>
      <c r="D45">
        <f t="shared" si="22"/>
        <v>0</v>
      </c>
      <c r="E45" t="str">
        <f t="shared" si="23"/>
        <v/>
      </c>
      <c r="F45">
        <v>0</v>
      </c>
      <c r="G45">
        <v>0</v>
      </c>
      <c r="H45">
        <f t="shared" si="24"/>
        <v>0</v>
      </c>
      <c r="I45" t="str">
        <f t="shared" si="25"/>
        <v/>
      </c>
      <c r="J45">
        <v>0</v>
      </c>
      <c r="K45">
        <v>0</v>
      </c>
      <c r="L45">
        <f t="shared" si="26"/>
        <v>0</v>
      </c>
      <c r="M45" t="str">
        <f t="shared" si="27"/>
        <v/>
      </c>
      <c r="N45">
        <v>0</v>
      </c>
      <c r="O45">
        <v>0</v>
      </c>
      <c r="P45">
        <f t="shared" si="28"/>
        <v>0</v>
      </c>
      <c r="Q45">
        <v>0</v>
      </c>
      <c r="R45">
        <v>0</v>
      </c>
      <c r="S45">
        <f t="shared" si="29"/>
        <v>0</v>
      </c>
      <c r="T45">
        <f t="shared" si="30"/>
        <v>0</v>
      </c>
      <c r="U45">
        <f t="shared" si="31"/>
        <v>0</v>
      </c>
      <c r="V45">
        <f t="shared" si="32"/>
        <v>0</v>
      </c>
    </row>
    <row r="46" spans="1:22" x14ac:dyDescent="0.25">
      <c r="A46" t="s">
        <v>49</v>
      </c>
      <c r="B46">
        <v>0</v>
      </c>
      <c r="C46">
        <v>0</v>
      </c>
      <c r="D46">
        <f t="shared" si="22"/>
        <v>0</v>
      </c>
      <c r="E46" t="str">
        <f t="shared" si="23"/>
        <v/>
      </c>
      <c r="F46">
        <v>0</v>
      </c>
      <c r="G46">
        <v>0</v>
      </c>
      <c r="H46">
        <f t="shared" si="24"/>
        <v>0</v>
      </c>
      <c r="I46" t="str">
        <f t="shared" si="25"/>
        <v/>
      </c>
      <c r="J46">
        <v>0</v>
      </c>
      <c r="K46">
        <v>0</v>
      </c>
      <c r="L46">
        <f t="shared" si="26"/>
        <v>0</v>
      </c>
      <c r="M46" t="str">
        <f t="shared" si="27"/>
        <v/>
      </c>
      <c r="N46">
        <v>0</v>
      </c>
      <c r="O46">
        <v>0</v>
      </c>
      <c r="P46">
        <f t="shared" si="28"/>
        <v>0</v>
      </c>
      <c r="Q46">
        <v>0</v>
      </c>
      <c r="R46">
        <v>0</v>
      </c>
      <c r="S46">
        <f t="shared" si="29"/>
        <v>0</v>
      </c>
      <c r="T46">
        <f t="shared" si="30"/>
        <v>0</v>
      </c>
      <c r="U46">
        <f t="shared" si="31"/>
        <v>0</v>
      </c>
      <c r="V46">
        <f t="shared" si="32"/>
        <v>0</v>
      </c>
    </row>
    <row r="47" spans="1:22" x14ac:dyDescent="0.25">
      <c r="A47" t="s">
        <v>50</v>
      </c>
      <c r="B47">
        <v>0</v>
      </c>
      <c r="C47">
        <v>1</v>
      </c>
      <c r="D47">
        <f t="shared" si="22"/>
        <v>1</v>
      </c>
      <c r="E47">
        <f t="shared" si="23"/>
        <v>25</v>
      </c>
      <c r="F47">
        <v>0</v>
      </c>
      <c r="G47">
        <v>1</v>
      </c>
      <c r="H47">
        <f t="shared" si="24"/>
        <v>1</v>
      </c>
      <c r="I47">
        <f t="shared" si="25"/>
        <v>25</v>
      </c>
      <c r="J47">
        <v>0</v>
      </c>
      <c r="K47">
        <v>2</v>
      </c>
      <c r="L47">
        <f t="shared" si="26"/>
        <v>2</v>
      </c>
      <c r="M47">
        <f t="shared" si="27"/>
        <v>50</v>
      </c>
      <c r="N47">
        <v>0</v>
      </c>
      <c r="O47">
        <v>0</v>
      </c>
      <c r="P47">
        <f t="shared" si="28"/>
        <v>0</v>
      </c>
      <c r="Q47">
        <v>0</v>
      </c>
      <c r="R47">
        <v>2</v>
      </c>
      <c r="S47">
        <f t="shared" si="29"/>
        <v>2</v>
      </c>
      <c r="T47">
        <f t="shared" si="30"/>
        <v>0</v>
      </c>
      <c r="U47">
        <f t="shared" si="31"/>
        <v>4</v>
      </c>
      <c r="V47">
        <f t="shared" si="32"/>
        <v>4</v>
      </c>
    </row>
    <row r="48" spans="1:22" x14ac:dyDescent="0.25">
      <c r="A48" t="s">
        <v>51</v>
      </c>
      <c r="B48">
        <v>0</v>
      </c>
      <c r="C48">
        <v>5</v>
      </c>
      <c r="D48">
        <f t="shared" si="22"/>
        <v>5</v>
      </c>
      <c r="E48">
        <f t="shared" si="23"/>
        <v>26.315799999999999</v>
      </c>
      <c r="F48">
        <v>0</v>
      </c>
      <c r="G48">
        <v>5</v>
      </c>
      <c r="H48">
        <f t="shared" si="24"/>
        <v>5</v>
      </c>
      <c r="I48">
        <f t="shared" si="25"/>
        <v>26.315799999999999</v>
      </c>
      <c r="J48">
        <v>0</v>
      </c>
      <c r="K48">
        <v>9</v>
      </c>
      <c r="L48">
        <f t="shared" si="26"/>
        <v>9</v>
      </c>
      <c r="M48">
        <f t="shared" si="27"/>
        <v>47.368400000000001</v>
      </c>
      <c r="N48">
        <v>0</v>
      </c>
      <c r="O48">
        <v>0</v>
      </c>
      <c r="P48">
        <f t="shared" si="28"/>
        <v>0</v>
      </c>
      <c r="Q48">
        <v>0</v>
      </c>
      <c r="R48">
        <v>13</v>
      </c>
      <c r="S48">
        <f t="shared" si="29"/>
        <v>13</v>
      </c>
      <c r="T48">
        <f t="shared" si="30"/>
        <v>0</v>
      </c>
      <c r="U48">
        <f t="shared" si="31"/>
        <v>19</v>
      </c>
      <c r="V48">
        <f t="shared" si="32"/>
        <v>19</v>
      </c>
    </row>
    <row r="49" spans="1:22" x14ac:dyDescent="0.25">
      <c r="A49" t="s">
        <v>52</v>
      </c>
      <c r="B49">
        <v>0</v>
      </c>
      <c r="C49">
        <v>0</v>
      </c>
      <c r="D49">
        <f t="shared" si="22"/>
        <v>0</v>
      </c>
      <c r="E49">
        <f t="shared" si="23"/>
        <v>0</v>
      </c>
      <c r="F49">
        <v>0</v>
      </c>
      <c r="G49">
        <v>2</v>
      </c>
      <c r="H49">
        <f t="shared" si="24"/>
        <v>2</v>
      </c>
      <c r="I49">
        <f t="shared" si="25"/>
        <v>100</v>
      </c>
      <c r="J49">
        <v>0</v>
      </c>
      <c r="K49">
        <v>0</v>
      </c>
      <c r="L49">
        <f t="shared" si="26"/>
        <v>0</v>
      </c>
      <c r="M49">
        <f t="shared" si="27"/>
        <v>0</v>
      </c>
      <c r="N49">
        <v>0</v>
      </c>
      <c r="O49">
        <v>0</v>
      </c>
      <c r="P49">
        <f t="shared" si="28"/>
        <v>0</v>
      </c>
      <c r="Q49">
        <v>0</v>
      </c>
      <c r="R49">
        <v>1</v>
      </c>
      <c r="S49">
        <f t="shared" si="29"/>
        <v>1</v>
      </c>
      <c r="T49">
        <f t="shared" si="30"/>
        <v>0</v>
      </c>
      <c r="U49">
        <f t="shared" si="31"/>
        <v>2</v>
      </c>
      <c r="V49">
        <f t="shared" si="32"/>
        <v>2</v>
      </c>
    </row>
    <row r="50" spans="1:22" x14ac:dyDescent="0.25">
      <c r="A50" t="s">
        <v>53</v>
      </c>
      <c r="B50">
        <v>1</v>
      </c>
      <c r="C50">
        <v>4</v>
      </c>
      <c r="D50">
        <f t="shared" si="22"/>
        <v>5</v>
      </c>
      <c r="E50">
        <f t="shared" si="23"/>
        <v>38.461500000000001</v>
      </c>
      <c r="F50">
        <v>0</v>
      </c>
      <c r="G50">
        <v>4</v>
      </c>
      <c r="H50">
        <f t="shared" si="24"/>
        <v>4</v>
      </c>
      <c r="I50">
        <f t="shared" si="25"/>
        <v>30.769200000000001</v>
      </c>
      <c r="J50">
        <v>0</v>
      </c>
      <c r="K50">
        <v>4</v>
      </c>
      <c r="L50">
        <f t="shared" si="26"/>
        <v>4</v>
      </c>
      <c r="M50">
        <f t="shared" si="27"/>
        <v>30.769200000000001</v>
      </c>
      <c r="N50">
        <v>0</v>
      </c>
      <c r="O50">
        <v>1</v>
      </c>
      <c r="P50">
        <f t="shared" si="28"/>
        <v>1</v>
      </c>
      <c r="Q50">
        <v>4</v>
      </c>
      <c r="R50">
        <v>7</v>
      </c>
      <c r="S50">
        <f t="shared" si="29"/>
        <v>11</v>
      </c>
      <c r="T50">
        <f t="shared" si="30"/>
        <v>1</v>
      </c>
      <c r="U50">
        <f t="shared" si="31"/>
        <v>12</v>
      </c>
      <c r="V50">
        <f t="shared" si="32"/>
        <v>13</v>
      </c>
    </row>
    <row r="51" spans="1:22" x14ac:dyDescent="0.25">
      <c r="A51" t="s">
        <v>54</v>
      </c>
      <c r="B51">
        <v>1</v>
      </c>
      <c r="C51">
        <v>1</v>
      </c>
      <c r="D51">
        <f t="shared" si="22"/>
        <v>2</v>
      </c>
      <c r="E51">
        <f t="shared" si="23"/>
        <v>28.571400000000001</v>
      </c>
      <c r="F51">
        <v>0</v>
      </c>
      <c r="G51">
        <v>3</v>
      </c>
      <c r="H51">
        <f t="shared" si="24"/>
        <v>3</v>
      </c>
      <c r="I51">
        <f t="shared" si="25"/>
        <v>42.857100000000003</v>
      </c>
      <c r="J51">
        <v>0</v>
      </c>
      <c r="K51">
        <v>2</v>
      </c>
      <c r="L51">
        <f t="shared" si="26"/>
        <v>2</v>
      </c>
      <c r="M51">
        <f t="shared" si="27"/>
        <v>28.571400000000001</v>
      </c>
      <c r="N51">
        <v>0</v>
      </c>
      <c r="O51">
        <v>0</v>
      </c>
      <c r="P51">
        <f t="shared" si="28"/>
        <v>0</v>
      </c>
      <c r="Q51">
        <v>0</v>
      </c>
      <c r="R51">
        <v>0</v>
      </c>
      <c r="S51">
        <f t="shared" si="29"/>
        <v>0</v>
      </c>
      <c r="T51">
        <f t="shared" si="30"/>
        <v>1</v>
      </c>
      <c r="U51">
        <f t="shared" si="31"/>
        <v>6</v>
      </c>
      <c r="V51">
        <f t="shared" si="32"/>
        <v>7</v>
      </c>
    </row>
    <row r="52" spans="1:22" x14ac:dyDescent="0.25">
      <c r="A52" t="s">
        <v>55</v>
      </c>
      <c r="B52">
        <v>2</v>
      </c>
      <c r="C52">
        <v>52</v>
      </c>
      <c r="D52">
        <f t="shared" si="22"/>
        <v>54</v>
      </c>
      <c r="E52">
        <f t="shared" si="23"/>
        <v>19.926200000000001</v>
      </c>
      <c r="F52">
        <v>13</v>
      </c>
      <c r="G52">
        <v>128</v>
      </c>
      <c r="H52">
        <f t="shared" si="24"/>
        <v>141</v>
      </c>
      <c r="I52">
        <f t="shared" si="25"/>
        <v>52.029499999999999</v>
      </c>
      <c r="J52">
        <v>3</v>
      </c>
      <c r="K52">
        <v>73</v>
      </c>
      <c r="L52">
        <f t="shared" si="26"/>
        <v>76</v>
      </c>
      <c r="M52">
        <f t="shared" si="27"/>
        <v>28.0443</v>
      </c>
      <c r="N52">
        <v>0</v>
      </c>
      <c r="O52">
        <v>6</v>
      </c>
      <c r="P52">
        <f t="shared" si="28"/>
        <v>6</v>
      </c>
      <c r="Q52">
        <v>11</v>
      </c>
      <c r="R52">
        <v>81</v>
      </c>
      <c r="S52">
        <f t="shared" si="29"/>
        <v>92</v>
      </c>
      <c r="T52">
        <f t="shared" si="30"/>
        <v>18</v>
      </c>
      <c r="U52">
        <f t="shared" si="31"/>
        <v>253</v>
      </c>
      <c r="V52">
        <f t="shared" si="32"/>
        <v>271</v>
      </c>
    </row>
    <row r="53" spans="1:22" x14ac:dyDescent="0.25">
      <c r="A53" t="s">
        <v>56</v>
      </c>
      <c r="B53">
        <v>0</v>
      </c>
      <c r="C53">
        <v>0</v>
      </c>
      <c r="D53">
        <f t="shared" si="22"/>
        <v>0</v>
      </c>
      <c r="E53" t="str">
        <f t="shared" si="23"/>
        <v/>
      </c>
      <c r="F53">
        <v>0</v>
      </c>
      <c r="G53">
        <v>0</v>
      </c>
      <c r="H53">
        <f t="shared" si="24"/>
        <v>0</v>
      </c>
      <c r="I53" t="str">
        <f t="shared" si="25"/>
        <v/>
      </c>
      <c r="J53">
        <v>0</v>
      </c>
      <c r="K53">
        <v>0</v>
      </c>
      <c r="L53">
        <f t="shared" si="26"/>
        <v>0</v>
      </c>
      <c r="M53" t="str">
        <f t="shared" si="27"/>
        <v/>
      </c>
      <c r="N53">
        <v>0</v>
      </c>
      <c r="O53">
        <v>2</v>
      </c>
      <c r="P53">
        <f t="shared" si="28"/>
        <v>2</v>
      </c>
      <c r="Q53">
        <v>0</v>
      </c>
      <c r="R53">
        <v>0</v>
      </c>
      <c r="S53">
        <f t="shared" si="29"/>
        <v>0</v>
      </c>
      <c r="T53">
        <f t="shared" si="30"/>
        <v>0</v>
      </c>
      <c r="U53">
        <f t="shared" si="31"/>
        <v>0</v>
      </c>
      <c r="V53">
        <f t="shared" si="32"/>
        <v>0</v>
      </c>
    </row>
    <row r="54" spans="1:22" x14ac:dyDescent="0.25">
      <c r="A54" t="s">
        <v>57</v>
      </c>
      <c r="B54">
        <v>0</v>
      </c>
      <c r="C54">
        <v>1</v>
      </c>
      <c r="D54">
        <f t="shared" si="22"/>
        <v>1</v>
      </c>
      <c r="E54">
        <f t="shared" si="23"/>
        <v>7.6923000000000004</v>
      </c>
      <c r="F54">
        <v>3</v>
      </c>
      <c r="G54">
        <v>4</v>
      </c>
      <c r="H54">
        <f t="shared" si="24"/>
        <v>7</v>
      </c>
      <c r="I54">
        <f t="shared" si="25"/>
        <v>53.846200000000003</v>
      </c>
      <c r="J54">
        <v>4</v>
      </c>
      <c r="K54">
        <v>1</v>
      </c>
      <c r="L54">
        <f t="shared" si="26"/>
        <v>5</v>
      </c>
      <c r="M54">
        <f t="shared" si="27"/>
        <v>38.461500000000001</v>
      </c>
      <c r="N54">
        <v>0</v>
      </c>
      <c r="O54">
        <v>0</v>
      </c>
      <c r="P54">
        <f t="shared" si="28"/>
        <v>0</v>
      </c>
      <c r="Q54">
        <v>1</v>
      </c>
      <c r="R54">
        <v>0</v>
      </c>
      <c r="S54">
        <f t="shared" si="29"/>
        <v>1</v>
      </c>
      <c r="T54">
        <f t="shared" si="30"/>
        <v>7</v>
      </c>
      <c r="U54">
        <f t="shared" si="31"/>
        <v>6</v>
      </c>
      <c r="V54">
        <f t="shared" si="32"/>
        <v>13</v>
      </c>
    </row>
    <row r="55" spans="1:22" x14ac:dyDescent="0.25">
      <c r="A55" t="s">
        <v>58</v>
      </c>
      <c r="B55">
        <v>0</v>
      </c>
      <c r="C55">
        <v>0</v>
      </c>
      <c r="D55">
        <f t="shared" si="22"/>
        <v>0</v>
      </c>
      <c r="E55" t="str">
        <f t="shared" si="23"/>
        <v/>
      </c>
      <c r="F55">
        <v>0</v>
      </c>
      <c r="G55">
        <v>0</v>
      </c>
      <c r="H55">
        <f t="shared" si="24"/>
        <v>0</v>
      </c>
      <c r="I55" t="str">
        <f t="shared" si="25"/>
        <v/>
      </c>
      <c r="J55">
        <v>0</v>
      </c>
      <c r="K55">
        <v>0</v>
      </c>
      <c r="L55">
        <f t="shared" si="26"/>
        <v>0</v>
      </c>
      <c r="M55" t="str">
        <f t="shared" si="27"/>
        <v/>
      </c>
      <c r="N55">
        <v>0</v>
      </c>
      <c r="O55">
        <v>0</v>
      </c>
      <c r="P55">
        <f t="shared" si="28"/>
        <v>0</v>
      </c>
      <c r="Q55">
        <v>0</v>
      </c>
      <c r="R55">
        <v>2</v>
      </c>
      <c r="S55">
        <f t="shared" si="29"/>
        <v>2</v>
      </c>
      <c r="T55">
        <f t="shared" si="30"/>
        <v>0</v>
      </c>
      <c r="U55">
        <f t="shared" si="31"/>
        <v>0</v>
      </c>
      <c r="V55">
        <f t="shared" si="32"/>
        <v>0</v>
      </c>
    </row>
    <row r="56" spans="1:22" x14ac:dyDescent="0.25">
      <c r="A56" t="s">
        <v>59</v>
      </c>
      <c r="B56">
        <v>0</v>
      </c>
      <c r="C56">
        <v>2</v>
      </c>
      <c r="D56">
        <f t="shared" si="22"/>
        <v>2</v>
      </c>
      <c r="E56">
        <f t="shared" si="23"/>
        <v>12.5</v>
      </c>
      <c r="F56">
        <v>0</v>
      </c>
      <c r="G56">
        <v>7</v>
      </c>
      <c r="H56">
        <f t="shared" si="24"/>
        <v>7</v>
      </c>
      <c r="I56">
        <f t="shared" si="25"/>
        <v>43.75</v>
      </c>
      <c r="J56">
        <v>0</v>
      </c>
      <c r="K56">
        <v>7</v>
      </c>
      <c r="L56">
        <f t="shared" si="26"/>
        <v>7</v>
      </c>
      <c r="M56">
        <f t="shared" si="27"/>
        <v>43.75</v>
      </c>
      <c r="N56">
        <v>0</v>
      </c>
      <c r="O56">
        <v>1</v>
      </c>
      <c r="P56">
        <f t="shared" si="28"/>
        <v>1</v>
      </c>
      <c r="Q56">
        <v>0</v>
      </c>
      <c r="R56">
        <v>3</v>
      </c>
      <c r="S56">
        <f t="shared" si="29"/>
        <v>3</v>
      </c>
      <c r="T56">
        <f t="shared" si="30"/>
        <v>0</v>
      </c>
      <c r="U56">
        <f t="shared" si="31"/>
        <v>16</v>
      </c>
      <c r="V56">
        <f t="shared" si="32"/>
        <v>16</v>
      </c>
    </row>
    <row r="57" spans="1:22" x14ac:dyDescent="0.25">
      <c r="A57" t="s">
        <v>60</v>
      </c>
      <c r="B57">
        <v>0</v>
      </c>
      <c r="C57">
        <v>1</v>
      </c>
      <c r="D57">
        <f t="shared" si="22"/>
        <v>1</v>
      </c>
      <c r="E57">
        <f t="shared" si="23"/>
        <v>4.1666999999999996</v>
      </c>
      <c r="F57">
        <v>0</v>
      </c>
      <c r="G57">
        <v>12</v>
      </c>
      <c r="H57">
        <f t="shared" si="24"/>
        <v>12</v>
      </c>
      <c r="I57">
        <f t="shared" si="25"/>
        <v>50</v>
      </c>
      <c r="J57">
        <v>0</v>
      </c>
      <c r="K57">
        <v>11</v>
      </c>
      <c r="L57">
        <f t="shared" si="26"/>
        <v>11</v>
      </c>
      <c r="M57">
        <f t="shared" si="27"/>
        <v>45.833300000000001</v>
      </c>
      <c r="N57">
        <v>0</v>
      </c>
      <c r="O57">
        <v>1</v>
      </c>
      <c r="P57">
        <f t="shared" si="28"/>
        <v>1</v>
      </c>
      <c r="Q57">
        <v>0</v>
      </c>
      <c r="R57">
        <v>9</v>
      </c>
      <c r="S57">
        <f t="shared" si="29"/>
        <v>9</v>
      </c>
      <c r="T57">
        <f t="shared" si="30"/>
        <v>0</v>
      </c>
      <c r="U57">
        <f t="shared" si="31"/>
        <v>24</v>
      </c>
      <c r="V57">
        <f t="shared" si="32"/>
        <v>24</v>
      </c>
    </row>
    <row r="58" spans="1:22" x14ac:dyDescent="0.25">
      <c r="A58" t="s">
        <v>61</v>
      </c>
      <c r="B58">
        <v>0</v>
      </c>
      <c r="C58">
        <v>0</v>
      </c>
      <c r="D58">
        <f t="shared" si="22"/>
        <v>0</v>
      </c>
      <c r="E58">
        <f t="shared" si="23"/>
        <v>0</v>
      </c>
      <c r="F58">
        <v>0</v>
      </c>
      <c r="G58">
        <v>3</v>
      </c>
      <c r="H58">
        <f t="shared" si="24"/>
        <v>3</v>
      </c>
      <c r="I58">
        <f t="shared" si="25"/>
        <v>75</v>
      </c>
      <c r="J58">
        <v>0</v>
      </c>
      <c r="K58">
        <v>1</v>
      </c>
      <c r="L58">
        <f t="shared" si="26"/>
        <v>1</v>
      </c>
      <c r="M58">
        <f t="shared" si="27"/>
        <v>25</v>
      </c>
      <c r="N58">
        <v>0</v>
      </c>
      <c r="O58">
        <v>1</v>
      </c>
      <c r="P58">
        <f t="shared" si="28"/>
        <v>1</v>
      </c>
      <c r="Q58">
        <v>0</v>
      </c>
      <c r="R58">
        <v>0</v>
      </c>
      <c r="S58">
        <f t="shared" si="29"/>
        <v>0</v>
      </c>
      <c r="T58">
        <f t="shared" si="30"/>
        <v>0</v>
      </c>
      <c r="U58">
        <f t="shared" si="31"/>
        <v>4</v>
      </c>
      <c r="V58">
        <f t="shared" si="32"/>
        <v>4</v>
      </c>
    </row>
    <row r="59" spans="1:22" x14ac:dyDescent="0.25">
      <c r="A59" t="s">
        <v>62</v>
      </c>
      <c r="B59">
        <v>0</v>
      </c>
      <c r="C59">
        <v>0</v>
      </c>
      <c r="D59">
        <f t="shared" si="22"/>
        <v>0</v>
      </c>
      <c r="E59" t="str">
        <f t="shared" si="23"/>
        <v/>
      </c>
      <c r="F59">
        <v>0</v>
      </c>
      <c r="G59">
        <v>0</v>
      </c>
      <c r="H59">
        <f t="shared" si="24"/>
        <v>0</v>
      </c>
      <c r="I59" t="str">
        <f t="shared" si="25"/>
        <v/>
      </c>
      <c r="J59">
        <v>0</v>
      </c>
      <c r="K59">
        <v>0</v>
      </c>
      <c r="L59">
        <f t="shared" si="26"/>
        <v>0</v>
      </c>
      <c r="M59" t="str">
        <f t="shared" si="27"/>
        <v/>
      </c>
      <c r="N59">
        <v>0</v>
      </c>
      <c r="O59">
        <v>0</v>
      </c>
      <c r="P59">
        <f t="shared" si="28"/>
        <v>0</v>
      </c>
      <c r="Q59">
        <v>0</v>
      </c>
      <c r="R59">
        <v>0</v>
      </c>
      <c r="S59">
        <f t="shared" si="29"/>
        <v>0</v>
      </c>
      <c r="T59">
        <f t="shared" si="30"/>
        <v>0</v>
      </c>
      <c r="U59">
        <f t="shared" si="31"/>
        <v>0</v>
      </c>
      <c r="V59">
        <f t="shared" si="32"/>
        <v>0</v>
      </c>
    </row>
    <row r="61" spans="1:22" x14ac:dyDescent="0.25">
      <c r="A61" s="8" t="s">
        <v>63</v>
      </c>
      <c r="B61" s="8" t="s">
        <v>63</v>
      </c>
      <c r="C61" s="8" t="s">
        <v>63</v>
      </c>
      <c r="D61" s="8" t="s">
        <v>63</v>
      </c>
      <c r="E61" s="8" t="s">
        <v>63</v>
      </c>
      <c r="F61" s="8" t="s">
        <v>63</v>
      </c>
      <c r="G61" s="8" t="s">
        <v>63</v>
      </c>
      <c r="H61" s="8" t="s">
        <v>63</v>
      </c>
      <c r="I61" s="8" t="s">
        <v>63</v>
      </c>
      <c r="J61" s="8" t="s">
        <v>63</v>
      </c>
      <c r="K61" s="8" t="s">
        <v>63</v>
      </c>
      <c r="L61" s="8" t="s">
        <v>63</v>
      </c>
      <c r="M61" s="8" t="s">
        <v>63</v>
      </c>
      <c r="N61" s="8" t="s">
        <v>63</v>
      </c>
      <c r="O61" s="8" t="s">
        <v>63</v>
      </c>
      <c r="P61" s="8" t="s">
        <v>63</v>
      </c>
      <c r="Q61" s="8" t="s">
        <v>63</v>
      </c>
      <c r="R61" s="8" t="s">
        <v>63</v>
      </c>
      <c r="S61" s="8" t="s">
        <v>63</v>
      </c>
      <c r="T61" s="8" t="s">
        <v>63</v>
      </c>
      <c r="U61" s="8" t="s">
        <v>63</v>
      </c>
      <c r="V61" s="8" t="s">
        <v>63</v>
      </c>
    </row>
    <row r="62" spans="1:22" x14ac:dyDescent="0.25">
      <c r="A62" t="s">
        <v>64</v>
      </c>
      <c r="B62">
        <v>1</v>
      </c>
      <c r="C62">
        <v>0</v>
      </c>
      <c r="D62">
        <f t="shared" ref="D62:D85" si="33">B62+C62</f>
        <v>1</v>
      </c>
      <c r="E62">
        <f t="shared" ref="E62:E85" si="34">IF(V62&gt;0,ROUND((D62/V62) * 100, 4), "")</f>
        <v>100</v>
      </c>
      <c r="F62">
        <v>0</v>
      </c>
      <c r="G62">
        <v>0</v>
      </c>
      <c r="H62">
        <f t="shared" ref="H62:H85" si="35">F62+G62</f>
        <v>0</v>
      </c>
      <c r="I62">
        <f t="shared" ref="I62:I85" si="36">IF(V62&gt;0,ROUND((H62/V62) * 100, 4), "")</f>
        <v>0</v>
      </c>
      <c r="J62">
        <v>0</v>
      </c>
      <c r="K62">
        <v>0</v>
      </c>
      <c r="L62">
        <f t="shared" ref="L62:L85" si="37">J62+K62</f>
        <v>0</v>
      </c>
      <c r="M62">
        <f t="shared" ref="M62:M85" si="38">IF(V62&gt;0,ROUND((L62/V62) * 100, 4), "")</f>
        <v>0</v>
      </c>
      <c r="N62">
        <v>0</v>
      </c>
      <c r="O62">
        <v>0</v>
      </c>
      <c r="P62">
        <f t="shared" ref="P62:P85" si="39">N62+O62</f>
        <v>0</v>
      </c>
      <c r="Q62">
        <v>0</v>
      </c>
      <c r="R62">
        <v>0</v>
      </c>
      <c r="S62">
        <f t="shared" ref="S62:S85" si="40">Q62+R62</f>
        <v>0</v>
      </c>
      <c r="T62">
        <f t="shared" ref="T62:T85" si="41">B62+F62+J62</f>
        <v>1</v>
      </c>
      <c r="U62">
        <f t="shared" ref="U62:U85" si="42">C62+G62+K62</f>
        <v>0</v>
      </c>
      <c r="V62">
        <f t="shared" ref="V62:V85" si="43">T62+U62</f>
        <v>1</v>
      </c>
    </row>
    <row r="63" spans="1:22" x14ac:dyDescent="0.25">
      <c r="A63" t="s">
        <v>65</v>
      </c>
      <c r="B63">
        <v>0</v>
      </c>
      <c r="C63">
        <v>0</v>
      </c>
      <c r="D63">
        <f t="shared" si="33"/>
        <v>0</v>
      </c>
      <c r="E63" t="str">
        <f t="shared" si="34"/>
        <v/>
      </c>
      <c r="F63">
        <v>0</v>
      </c>
      <c r="G63">
        <v>0</v>
      </c>
      <c r="H63">
        <f t="shared" si="35"/>
        <v>0</v>
      </c>
      <c r="I63" t="str">
        <f t="shared" si="36"/>
        <v/>
      </c>
      <c r="J63">
        <v>0</v>
      </c>
      <c r="K63">
        <v>0</v>
      </c>
      <c r="L63">
        <f t="shared" si="37"/>
        <v>0</v>
      </c>
      <c r="M63" t="str">
        <f t="shared" si="38"/>
        <v/>
      </c>
      <c r="N63">
        <v>0</v>
      </c>
      <c r="O63">
        <v>0</v>
      </c>
      <c r="P63">
        <f t="shared" si="39"/>
        <v>0</v>
      </c>
      <c r="Q63">
        <v>0</v>
      </c>
      <c r="R63">
        <v>0</v>
      </c>
      <c r="S63">
        <f t="shared" si="40"/>
        <v>0</v>
      </c>
      <c r="T63">
        <f t="shared" si="41"/>
        <v>0</v>
      </c>
      <c r="U63">
        <f t="shared" si="42"/>
        <v>0</v>
      </c>
      <c r="V63">
        <f t="shared" si="43"/>
        <v>0</v>
      </c>
    </row>
    <row r="64" spans="1:22" x14ac:dyDescent="0.25">
      <c r="A64" t="s">
        <v>66</v>
      </c>
      <c r="B64">
        <v>0</v>
      </c>
      <c r="C64">
        <v>0</v>
      </c>
      <c r="D64">
        <f t="shared" si="33"/>
        <v>0</v>
      </c>
      <c r="E64" t="str">
        <f t="shared" si="34"/>
        <v/>
      </c>
      <c r="F64">
        <v>0</v>
      </c>
      <c r="G64">
        <v>0</v>
      </c>
      <c r="H64">
        <f t="shared" si="35"/>
        <v>0</v>
      </c>
      <c r="I64" t="str">
        <f t="shared" si="36"/>
        <v/>
      </c>
      <c r="J64">
        <v>0</v>
      </c>
      <c r="K64">
        <v>0</v>
      </c>
      <c r="L64">
        <f t="shared" si="37"/>
        <v>0</v>
      </c>
      <c r="M64" t="str">
        <f t="shared" si="38"/>
        <v/>
      </c>
      <c r="N64">
        <v>0</v>
      </c>
      <c r="O64">
        <v>0</v>
      </c>
      <c r="P64">
        <f t="shared" si="39"/>
        <v>0</v>
      </c>
      <c r="Q64">
        <v>0</v>
      </c>
      <c r="R64">
        <v>0</v>
      </c>
      <c r="S64">
        <f t="shared" si="40"/>
        <v>0</v>
      </c>
      <c r="T64">
        <f t="shared" si="41"/>
        <v>0</v>
      </c>
      <c r="U64">
        <f t="shared" si="42"/>
        <v>0</v>
      </c>
      <c r="V64">
        <f t="shared" si="43"/>
        <v>0</v>
      </c>
    </row>
    <row r="65" spans="1:22" x14ac:dyDescent="0.25">
      <c r="A65" t="s">
        <v>67</v>
      </c>
      <c r="B65">
        <v>0</v>
      </c>
      <c r="C65">
        <v>0</v>
      </c>
      <c r="D65">
        <f t="shared" si="33"/>
        <v>0</v>
      </c>
      <c r="E65">
        <f t="shared" si="34"/>
        <v>0</v>
      </c>
      <c r="F65">
        <v>0</v>
      </c>
      <c r="G65">
        <v>1</v>
      </c>
      <c r="H65">
        <f t="shared" si="35"/>
        <v>1</v>
      </c>
      <c r="I65">
        <f t="shared" si="36"/>
        <v>100</v>
      </c>
      <c r="J65">
        <v>0</v>
      </c>
      <c r="K65">
        <v>0</v>
      </c>
      <c r="L65">
        <f t="shared" si="37"/>
        <v>0</v>
      </c>
      <c r="M65">
        <f t="shared" si="38"/>
        <v>0</v>
      </c>
      <c r="N65">
        <v>0</v>
      </c>
      <c r="O65">
        <v>0</v>
      </c>
      <c r="P65">
        <f t="shared" si="39"/>
        <v>0</v>
      </c>
      <c r="Q65">
        <v>0</v>
      </c>
      <c r="R65">
        <v>0</v>
      </c>
      <c r="S65">
        <f t="shared" si="40"/>
        <v>0</v>
      </c>
      <c r="T65">
        <f t="shared" si="41"/>
        <v>0</v>
      </c>
      <c r="U65">
        <f t="shared" si="42"/>
        <v>1</v>
      </c>
      <c r="V65">
        <f t="shared" si="43"/>
        <v>1</v>
      </c>
    </row>
    <row r="66" spans="1:22" x14ac:dyDescent="0.25">
      <c r="A66" t="s">
        <v>68</v>
      </c>
      <c r="B66">
        <v>0</v>
      </c>
      <c r="C66">
        <v>2</v>
      </c>
      <c r="D66">
        <f t="shared" si="33"/>
        <v>2</v>
      </c>
      <c r="E66">
        <f t="shared" si="34"/>
        <v>13.333299999999999</v>
      </c>
      <c r="F66">
        <v>0</v>
      </c>
      <c r="G66">
        <v>3</v>
      </c>
      <c r="H66">
        <f t="shared" si="35"/>
        <v>3</v>
      </c>
      <c r="I66">
        <f t="shared" si="36"/>
        <v>20</v>
      </c>
      <c r="J66">
        <v>0</v>
      </c>
      <c r="K66">
        <v>10</v>
      </c>
      <c r="L66">
        <f t="shared" si="37"/>
        <v>10</v>
      </c>
      <c r="M66">
        <f t="shared" si="38"/>
        <v>66.666700000000006</v>
      </c>
      <c r="N66">
        <v>0</v>
      </c>
      <c r="O66">
        <v>0</v>
      </c>
      <c r="P66">
        <f t="shared" si="39"/>
        <v>0</v>
      </c>
      <c r="Q66">
        <v>0</v>
      </c>
      <c r="R66">
        <v>1</v>
      </c>
      <c r="S66">
        <f t="shared" si="40"/>
        <v>1</v>
      </c>
      <c r="T66">
        <f t="shared" si="41"/>
        <v>0</v>
      </c>
      <c r="U66">
        <f t="shared" si="42"/>
        <v>15</v>
      </c>
      <c r="V66">
        <f t="shared" si="43"/>
        <v>15</v>
      </c>
    </row>
    <row r="67" spans="1:22" x14ac:dyDescent="0.25">
      <c r="A67" t="s">
        <v>69</v>
      </c>
      <c r="B67">
        <v>2</v>
      </c>
      <c r="C67">
        <v>1</v>
      </c>
      <c r="D67">
        <f t="shared" si="33"/>
        <v>3</v>
      </c>
      <c r="E67">
        <f t="shared" si="34"/>
        <v>18.75</v>
      </c>
      <c r="F67">
        <v>0</v>
      </c>
      <c r="G67">
        <v>11</v>
      </c>
      <c r="H67">
        <f t="shared" si="35"/>
        <v>11</v>
      </c>
      <c r="I67">
        <f t="shared" si="36"/>
        <v>68.75</v>
      </c>
      <c r="J67">
        <v>0</v>
      </c>
      <c r="K67">
        <v>2</v>
      </c>
      <c r="L67">
        <f t="shared" si="37"/>
        <v>2</v>
      </c>
      <c r="M67">
        <f t="shared" si="38"/>
        <v>12.5</v>
      </c>
      <c r="N67">
        <v>0</v>
      </c>
      <c r="O67">
        <v>2</v>
      </c>
      <c r="P67">
        <f t="shared" si="39"/>
        <v>2</v>
      </c>
      <c r="Q67">
        <v>0</v>
      </c>
      <c r="R67">
        <v>5</v>
      </c>
      <c r="S67">
        <f t="shared" si="40"/>
        <v>5</v>
      </c>
      <c r="T67">
        <f t="shared" si="41"/>
        <v>2</v>
      </c>
      <c r="U67">
        <f t="shared" si="42"/>
        <v>14</v>
      </c>
      <c r="V67">
        <f t="shared" si="43"/>
        <v>16</v>
      </c>
    </row>
    <row r="68" spans="1:22" x14ac:dyDescent="0.25">
      <c r="A68" t="s">
        <v>70</v>
      </c>
      <c r="B68">
        <v>0</v>
      </c>
      <c r="C68">
        <v>0</v>
      </c>
      <c r="D68">
        <f t="shared" si="33"/>
        <v>0</v>
      </c>
      <c r="E68" t="str">
        <f t="shared" si="34"/>
        <v/>
      </c>
      <c r="F68">
        <v>0</v>
      </c>
      <c r="G68">
        <v>0</v>
      </c>
      <c r="H68">
        <f t="shared" si="35"/>
        <v>0</v>
      </c>
      <c r="I68" t="str">
        <f t="shared" si="36"/>
        <v/>
      </c>
      <c r="J68">
        <v>0</v>
      </c>
      <c r="K68">
        <v>0</v>
      </c>
      <c r="L68">
        <f t="shared" si="37"/>
        <v>0</v>
      </c>
      <c r="M68" t="str">
        <f t="shared" si="38"/>
        <v/>
      </c>
      <c r="N68">
        <v>0</v>
      </c>
      <c r="O68">
        <v>0</v>
      </c>
      <c r="P68">
        <f t="shared" si="39"/>
        <v>0</v>
      </c>
      <c r="Q68">
        <v>0</v>
      </c>
      <c r="R68">
        <v>0</v>
      </c>
      <c r="S68">
        <f t="shared" si="40"/>
        <v>0</v>
      </c>
      <c r="T68">
        <f t="shared" si="41"/>
        <v>0</v>
      </c>
      <c r="U68">
        <f t="shared" si="42"/>
        <v>0</v>
      </c>
      <c r="V68">
        <f t="shared" si="43"/>
        <v>0</v>
      </c>
    </row>
    <row r="69" spans="1:22" x14ac:dyDescent="0.25">
      <c r="A69" t="s">
        <v>71</v>
      </c>
      <c r="B69">
        <v>0</v>
      </c>
      <c r="C69">
        <v>0</v>
      </c>
      <c r="D69">
        <f t="shared" si="33"/>
        <v>0</v>
      </c>
      <c r="E69">
        <f t="shared" si="34"/>
        <v>0</v>
      </c>
      <c r="F69">
        <v>0</v>
      </c>
      <c r="G69">
        <v>7</v>
      </c>
      <c r="H69">
        <f t="shared" si="35"/>
        <v>7</v>
      </c>
      <c r="I69">
        <f t="shared" si="36"/>
        <v>63.636400000000002</v>
      </c>
      <c r="J69">
        <v>0</v>
      </c>
      <c r="K69">
        <v>4</v>
      </c>
      <c r="L69">
        <f t="shared" si="37"/>
        <v>4</v>
      </c>
      <c r="M69">
        <f t="shared" si="38"/>
        <v>36.363599999999998</v>
      </c>
      <c r="N69">
        <v>0</v>
      </c>
      <c r="O69">
        <v>0</v>
      </c>
      <c r="P69">
        <f t="shared" si="39"/>
        <v>0</v>
      </c>
      <c r="Q69">
        <v>2</v>
      </c>
      <c r="R69">
        <v>3</v>
      </c>
      <c r="S69">
        <f t="shared" si="40"/>
        <v>5</v>
      </c>
      <c r="T69">
        <f t="shared" si="41"/>
        <v>0</v>
      </c>
      <c r="U69">
        <f t="shared" si="42"/>
        <v>11</v>
      </c>
      <c r="V69">
        <f t="shared" si="43"/>
        <v>11</v>
      </c>
    </row>
    <row r="70" spans="1:22" x14ac:dyDescent="0.25">
      <c r="A70" t="s">
        <v>72</v>
      </c>
      <c r="B70">
        <v>4</v>
      </c>
      <c r="C70">
        <v>5</v>
      </c>
      <c r="D70">
        <f t="shared" si="33"/>
        <v>9</v>
      </c>
      <c r="E70">
        <f t="shared" si="34"/>
        <v>1.44</v>
      </c>
      <c r="F70">
        <v>179</v>
      </c>
      <c r="G70">
        <v>97</v>
      </c>
      <c r="H70">
        <f t="shared" si="35"/>
        <v>276</v>
      </c>
      <c r="I70">
        <f t="shared" si="36"/>
        <v>44.16</v>
      </c>
      <c r="J70">
        <v>108</v>
      </c>
      <c r="K70">
        <v>232</v>
      </c>
      <c r="L70">
        <f t="shared" si="37"/>
        <v>340</v>
      </c>
      <c r="M70">
        <f t="shared" si="38"/>
        <v>54.4</v>
      </c>
      <c r="N70">
        <v>1</v>
      </c>
      <c r="O70">
        <v>10</v>
      </c>
      <c r="P70">
        <f t="shared" si="39"/>
        <v>11</v>
      </c>
      <c r="Q70">
        <v>100</v>
      </c>
      <c r="R70">
        <v>264</v>
      </c>
      <c r="S70">
        <f t="shared" si="40"/>
        <v>364</v>
      </c>
      <c r="T70">
        <f t="shared" si="41"/>
        <v>291</v>
      </c>
      <c r="U70">
        <f t="shared" si="42"/>
        <v>334</v>
      </c>
      <c r="V70">
        <f t="shared" si="43"/>
        <v>625</v>
      </c>
    </row>
    <row r="71" spans="1:22" x14ac:dyDescent="0.25">
      <c r="A71" t="s">
        <v>73</v>
      </c>
      <c r="B71">
        <v>29</v>
      </c>
      <c r="C71">
        <v>22</v>
      </c>
      <c r="D71">
        <f t="shared" si="33"/>
        <v>51</v>
      </c>
      <c r="E71">
        <f t="shared" si="34"/>
        <v>13.4565</v>
      </c>
      <c r="F71">
        <v>187</v>
      </c>
      <c r="G71">
        <v>34</v>
      </c>
      <c r="H71">
        <f t="shared" si="35"/>
        <v>221</v>
      </c>
      <c r="I71">
        <f t="shared" si="36"/>
        <v>58.311300000000003</v>
      </c>
      <c r="J71">
        <v>71</v>
      </c>
      <c r="K71">
        <v>36</v>
      </c>
      <c r="L71">
        <f t="shared" si="37"/>
        <v>107</v>
      </c>
      <c r="M71">
        <f t="shared" si="38"/>
        <v>28.232199999999999</v>
      </c>
      <c r="N71">
        <v>3</v>
      </c>
      <c r="O71">
        <v>0</v>
      </c>
      <c r="P71">
        <f t="shared" si="39"/>
        <v>3</v>
      </c>
      <c r="Q71">
        <v>72</v>
      </c>
      <c r="R71">
        <v>21</v>
      </c>
      <c r="S71">
        <f t="shared" si="40"/>
        <v>93</v>
      </c>
      <c r="T71">
        <f t="shared" si="41"/>
        <v>287</v>
      </c>
      <c r="U71">
        <f t="shared" si="42"/>
        <v>92</v>
      </c>
      <c r="V71">
        <f t="shared" si="43"/>
        <v>379</v>
      </c>
    </row>
    <row r="72" spans="1:22" x14ac:dyDescent="0.25">
      <c r="A72" t="s">
        <v>74</v>
      </c>
      <c r="B72">
        <v>0</v>
      </c>
      <c r="C72">
        <v>0</v>
      </c>
      <c r="D72">
        <f t="shared" si="33"/>
        <v>0</v>
      </c>
      <c r="E72">
        <f t="shared" si="34"/>
        <v>0</v>
      </c>
      <c r="F72">
        <v>0</v>
      </c>
      <c r="G72">
        <v>0</v>
      </c>
      <c r="H72">
        <f t="shared" si="35"/>
        <v>0</v>
      </c>
      <c r="I72">
        <f t="shared" si="36"/>
        <v>0</v>
      </c>
      <c r="J72">
        <v>0</v>
      </c>
      <c r="K72">
        <v>2</v>
      </c>
      <c r="L72">
        <f t="shared" si="37"/>
        <v>2</v>
      </c>
      <c r="M72">
        <f t="shared" si="38"/>
        <v>100</v>
      </c>
      <c r="N72">
        <v>3</v>
      </c>
      <c r="O72">
        <v>5</v>
      </c>
      <c r="P72">
        <f t="shared" si="39"/>
        <v>8</v>
      </c>
      <c r="Q72">
        <v>0</v>
      </c>
      <c r="R72">
        <v>0</v>
      </c>
      <c r="S72">
        <f t="shared" si="40"/>
        <v>0</v>
      </c>
      <c r="T72">
        <f t="shared" si="41"/>
        <v>0</v>
      </c>
      <c r="U72">
        <f t="shared" si="42"/>
        <v>2</v>
      </c>
      <c r="V72">
        <f t="shared" si="43"/>
        <v>2</v>
      </c>
    </row>
    <row r="73" spans="1:22" x14ac:dyDescent="0.25">
      <c r="A73" t="s">
        <v>75</v>
      </c>
      <c r="B73">
        <v>0</v>
      </c>
      <c r="C73">
        <v>0</v>
      </c>
      <c r="D73">
        <f t="shared" si="33"/>
        <v>0</v>
      </c>
      <c r="E73" t="str">
        <f t="shared" si="34"/>
        <v/>
      </c>
      <c r="F73">
        <v>0</v>
      </c>
      <c r="G73">
        <v>0</v>
      </c>
      <c r="H73">
        <f t="shared" si="35"/>
        <v>0</v>
      </c>
      <c r="I73" t="str">
        <f t="shared" si="36"/>
        <v/>
      </c>
      <c r="J73">
        <v>0</v>
      </c>
      <c r="K73">
        <v>0</v>
      </c>
      <c r="L73">
        <f t="shared" si="37"/>
        <v>0</v>
      </c>
      <c r="M73" t="str">
        <f t="shared" si="38"/>
        <v/>
      </c>
      <c r="N73">
        <v>0</v>
      </c>
      <c r="O73">
        <v>0</v>
      </c>
      <c r="P73">
        <f t="shared" si="39"/>
        <v>0</v>
      </c>
      <c r="Q73">
        <v>0</v>
      </c>
      <c r="R73">
        <v>0</v>
      </c>
      <c r="S73">
        <f t="shared" si="40"/>
        <v>0</v>
      </c>
      <c r="T73">
        <f t="shared" si="41"/>
        <v>0</v>
      </c>
      <c r="U73">
        <f t="shared" si="42"/>
        <v>0</v>
      </c>
      <c r="V73">
        <f t="shared" si="43"/>
        <v>0</v>
      </c>
    </row>
    <row r="74" spans="1:22" x14ac:dyDescent="0.25">
      <c r="A74" t="s">
        <v>76</v>
      </c>
      <c r="B74">
        <v>0</v>
      </c>
      <c r="C74">
        <v>0</v>
      </c>
      <c r="D74">
        <f t="shared" si="33"/>
        <v>0</v>
      </c>
      <c r="E74" t="str">
        <f t="shared" si="34"/>
        <v/>
      </c>
      <c r="F74">
        <v>0</v>
      </c>
      <c r="G74">
        <v>0</v>
      </c>
      <c r="H74">
        <f t="shared" si="35"/>
        <v>0</v>
      </c>
      <c r="I74" t="str">
        <f t="shared" si="36"/>
        <v/>
      </c>
      <c r="J74">
        <v>0</v>
      </c>
      <c r="K74">
        <v>0</v>
      </c>
      <c r="L74">
        <f t="shared" si="37"/>
        <v>0</v>
      </c>
      <c r="M74" t="str">
        <f t="shared" si="38"/>
        <v/>
      </c>
      <c r="N74">
        <v>0</v>
      </c>
      <c r="O74">
        <v>0</v>
      </c>
      <c r="P74">
        <f t="shared" si="39"/>
        <v>0</v>
      </c>
      <c r="Q74">
        <v>0</v>
      </c>
      <c r="R74">
        <v>0</v>
      </c>
      <c r="S74">
        <f t="shared" si="40"/>
        <v>0</v>
      </c>
      <c r="T74">
        <f t="shared" si="41"/>
        <v>0</v>
      </c>
      <c r="U74">
        <f t="shared" si="42"/>
        <v>0</v>
      </c>
      <c r="V74">
        <f t="shared" si="43"/>
        <v>0</v>
      </c>
    </row>
    <row r="75" spans="1:22" x14ac:dyDescent="0.25">
      <c r="A75" t="s">
        <v>77</v>
      </c>
      <c r="B75">
        <v>0</v>
      </c>
      <c r="C75">
        <v>0</v>
      </c>
      <c r="D75">
        <f t="shared" si="33"/>
        <v>0</v>
      </c>
      <c r="E75" t="str">
        <f t="shared" si="34"/>
        <v/>
      </c>
      <c r="F75">
        <v>0</v>
      </c>
      <c r="G75">
        <v>0</v>
      </c>
      <c r="H75">
        <f t="shared" si="35"/>
        <v>0</v>
      </c>
      <c r="I75" t="str">
        <f t="shared" si="36"/>
        <v/>
      </c>
      <c r="J75">
        <v>0</v>
      </c>
      <c r="K75">
        <v>0</v>
      </c>
      <c r="L75">
        <f t="shared" si="37"/>
        <v>0</v>
      </c>
      <c r="M75" t="str">
        <f t="shared" si="38"/>
        <v/>
      </c>
      <c r="N75">
        <v>0</v>
      </c>
      <c r="O75">
        <v>1</v>
      </c>
      <c r="P75">
        <f t="shared" si="39"/>
        <v>1</v>
      </c>
      <c r="Q75">
        <v>0</v>
      </c>
      <c r="R75">
        <v>0</v>
      </c>
      <c r="S75">
        <f t="shared" si="40"/>
        <v>0</v>
      </c>
      <c r="T75">
        <f t="shared" si="41"/>
        <v>0</v>
      </c>
      <c r="U75">
        <f t="shared" si="42"/>
        <v>0</v>
      </c>
      <c r="V75">
        <f t="shared" si="43"/>
        <v>0</v>
      </c>
    </row>
    <row r="76" spans="1:22" x14ac:dyDescent="0.25">
      <c r="A76" t="s">
        <v>78</v>
      </c>
      <c r="B76">
        <v>0</v>
      </c>
      <c r="C76">
        <v>0</v>
      </c>
      <c r="D76">
        <f t="shared" si="33"/>
        <v>0</v>
      </c>
      <c r="E76" t="str">
        <f t="shared" si="34"/>
        <v/>
      </c>
      <c r="F76">
        <v>0</v>
      </c>
      <c r="G76">
        <v>0</v>
      </c>
      <c r="H76">
        <f t="shared" si="35"/>
        <v>0</v>
      </c>
      <c r="I76" t="str">
        <f t="shared" si="36"/>
        <v/>
      </c>
      <c r="J76">
        <v>0</v>
      </c>
      <c r="K76">
        <v>0</v>
      </c>
      <c r="L76">
        <f t="shared" si="37"/>
        <v>0</v>
      </c>
      <c r="M76" t="str">
        <f t="shared" si="38"/>
        <v/>
      </c>
      <c r="N76">
        <v>0</v>
      </c>
      <c r="O76">
        <v>0</v>
      </c>
      <c r="P76">
        <f t="shared" si="39"/>
        <v>0</v>
      </c>
      <c r="Q76">
        <v>0</v>
      </c>
      <c r="R76">
        <v>0</v>
      </c>
      <c r="S76">
        <f t="shared" si="40"/>
        <v>0</v>
      </c>
      <c r="T76">
        <f t="shared" si="41"/>
        <v>0</v>
      </c>
      <c r="U76">
        <f t="shared" si="42"/>
        <v>0</v>
      </c>
      <c r="V76">
        <f t="shared" si="43"/>
        <v>0</v>
      </c>
    </row>
    <row r="77" spans="1:22" x14ac:dyDescent="0.25">
      <c r="A77" t="s">
        <v>79</v>
      </c>
      <c r="B77">
        <v>0</v>
      </c>
      <c r="C77">
        <v>0</v>
      </c>
      <c r="D77">
        <f t="shared" si="33"/>
        <v>0</v>
      </c>
      <c r="E77">
        <f t="shared" si="34"/>
        <v>0</v>
      </c>
      <c r="F77">
        <v>0</v>
      </c>
      <c r="G77">
        <v>0</v>
      </c>
      <c r="H77">
        <f t="shared" si="35"/>
        <v>0</v>
      </c>
      <c r="I77">
        <f t="shared" si="36"/>
        <v>0</v>
      </c>
      <c r="J77">
        <v>0</v>
      </c>
      <c r="K77">
        <v>1</v>
      </c>
      <c r="L77">
        <f t="shared" si="37"/>
        <v>1</v>
      </c>
      <c r="M77">
        <f t="shared" si="38"/>
        <v>100</v>
      </c>
      <c r="N77">
        <v>5</v>
      </c>
      <c r="O77">
        <v>0</v>
      </c>
      <c r="P77">
        <f t="shared" si="39"/>
        <v>5</v>
      </c>
      <c r="Q77">
        <v>0</v>
      </c>
      <c r="R77">
        <v>0</v>
      </c>
      <c r="S77">
        <f t="shared" si="40"/>
        <v>0</v>
      </c>
      <c r="T77">
        <f t="shared" si="41"/>
        <v>0</v>
      </c>
      <c r="U77">
        <f t="shared" si="42"/>
        <v>1</v>
      </c>
      <c r="V77">
        <f t="shared" si="43"/>
        <v>1</v>
      </c>
    </row>
    <row r="78" spans="1:22" x14ac:dyDescent="0.25">
      <c r="A78" t="s">
        <v>80</v>
      </c>
      <c r="B78">
        <v>0</v>
      </c>
      <c r="C78">
        <v>0</v>
      </c>
      <c r="D78">
        <f t="shared" si="33"/>
        <v>0</v>
      </c>
      <c r="E78">
        <f t="shared" si="34"/>
        <v>0</v>
      </c>
      <c r="F78">
        <v>0</v>
      </c>
      <c r="G78">
        <v>1</v>
      </c>
      <c r="H78">
        <f t="shared" si="35"/>
        <v>1</v>
      </c>
      <c r="I78">
        <f t="shared" si="36"/>
        <v>100</v>
      </c>
      <c r="J78">
        <v>0</v>
      </c>
      <c r="K78">
        <v>0</v>
      </c>
      <c r="L78">
        <f t="shared" si="37"/>
        <v>0</v>
      </c>
      <c r="M78">
        <f t="shared" si="38"/>
        <v>0</v>
      </c>
      <c r="N78">
        <v>0</v>
      </c>
      <c r="O78">
        <v>0</v>
      </c>
      <c r="P78">
        <f t="shared" si="39"/>
        <v>0</v>
      </c>
      <c r="Q78">
        <v>0</v>
      </c>
      <c r="R78">
        <v>0</v>
      </c>
      <c r="S78">
        <f t="shared" si="40"/>
        <v>0</v>
      </c>
      <c r="T78">
        <f t="shared" si="41"/>
        <v>0</v>
      </c>
      <c r="U78">
        <f t="shared" si="42"/>
        <v>1</v>
      </c>
      <c r="V78">
        <f t="shared" si="43"/>
        <v>1</v>
      </c>
    </row>
    <row r="79" spans="1:22" x14ac:dyDescent="0.25">
      <c r="A79" t="s">
        <v>81</v>
      </c>
      <c r="B79">
        <v>0</v>
      </c>
      <c r="C79">
        <v>0</v>
      </c>
      <c r="D79">
        <f t="shared" si="33"/>
        <v>0</v>
      </c>
      <c r="E79" t="str">
        <f t="shared" si="34"/>
        <v/>
      </c>
      <c r="F79">
        <v>0</v>
      </c>
      <c r="G79">
        <v>0</v>
      </c>
      <c r="H79">
        <f t="shared" si="35"/>
        <v>0</v>
      </c>
      <c r="I79" t="str">
        <f t="shared" si="36"/>
        <v/>
      </c>
      <c r="J79">
        <v>0</v>
      </c>
      <c r="K79">
        <v>0</v>
      </c>
      <c r="L79">
        <f t="shared" si="37"/>
        <v>0</v>
      </c>
      <c r="M79" t="str">
        <f t="shared" si="38"/>
        <v/>
      </c>
      <c r="N79">
        <v>0</v>
      </c>
      <c r="O79">
        <v>0</v>
      </c>
      <c r="P79">
        <f t="shared" si="39"/>
        <v>0</v>
      </c>
      <c r="Q79">
        <v>0</v>
      </c>
      <c r="R79">
        <v>0</v>
      </c>
      <c r="S79">
        <f t="shared" si="40"/>
        <v>0</v>
      </c>
      <c r="T79">
        <f t="shared" si="41"/>
        <v>0</v>
      </c>
      <c r="U79">
        <f t="shared" si="42"/>
        <v>0</v>
      </c>
      <c r="V79">
        <f t="shared" si="43"/>
        <v>0</v>
      </c>
    </row>
    <row r="80" spans="1:22" x14ac:dyDescent="0.25">
      <c r="A80" t="s">
        <v>82</v>
      </c>
      <c r="B80">
        <v>0</v>
      </c>
      <c r="C80">
        <v>0</v>
      </c>
      <c r="D80">
        <f t="shared" si="33"/>
        <v>0</v>
      </c>
      <c r="E80" t="str">
        <f t="shared" si="34"/>
        <v/>
      </c>
      <c r="F80">
        <v>0</v>
      </c>
      <c r="G80">
        <v>0</v>
      </c>
      <c r="H80">
        <f t="shared" si="35"/>
        <v>0</v>
      </c>
      <c r="I80" t="str">
        <f t="shared" si="36"/>
        <v/>
      </c>
      <c r="J80">
        <v>0</v>
      </c>
      <c r="K80">
        <v>0</v>
      </c>
      <c r="L80">
        <f t="shared" si="37"/>
        <v>0</v>
      </c>
      <c r="M80" t="str">
        <f t="shared" si="38"/>
        <v/>
      </c>
      <c r="N80">
        <v>0</v>
      </c>
      <c r="O80">
        <v>0</v>
      </c>
      <c r="P80">
        <f t="shared" si="39"/>
        <v>0</v>
      </c>
      <c r="Q80">
        <v>0</v>
      </c>
      <c r="R80">
        <v>0</v>
      </c>
      <c r="S80">
        <f t="shared" si="40"/>
        <v>0</v>
      </c>
      <c r="T80">
        <f t="shared" si="41"/>
        <v>0</v>
      </c>
      <c r="U80">
        <f t="shared" si="42"/>
        <v>0</v>
      </c>
      <c r="V80">
        <f t="shared" si="43"/>
        <v>0</v>
      </c>
    </row>
    <row r="81" spans="1:22" x14ac:dyDescent="0.25">
      <c r="A81" t="s">
        <v>83</v>
      </c>
      <c r="B81">
        <v>0</v>
      </c>
      <c r="C81">
        <v>0</v>
      </c>
      <c r="D81">
        <f t="shared" si="33"/>
        <v>0</v>
      </c>
      <c r="E81" t="str">
        <f t="shared" si="34"/>
        <v/>
      </c>
      <c r="F81">
        <v>0</v>
      </c>
      <c r="G81">
        <v>0</v>
      </c>
      <c r="H81">
        <f t="shared" si="35"/>
        <v>0</v>
      </c>
      <c r="I81" t="str">
        <f t="shared" si="36"/>
        <v/>
      </c>
      <c r="J81">
        <v>0</v>
      </c>
      <c r="K81">
        <v>0</v>
      </c>
      <c r="L81">
        <f t="shared" si="37"/>
        <v>0</v>
      </c>
      <c r="M81" t="str">
        <f t="shared" si="38"/>
        <v/>
      </c>
      <c r="N81">
        <v>0</v>
      </c>
      <c r="O81">
        <v>0</v>
      </c>
      <c r="P81">
        <f t="shared" si="39"/>
        <v>0</v>
      </c>
      <c r="Q81">
        <v>0</v>
      </c>
      <c r="R81">
        <v>0</v>
      </c>
      <c r="S81">
        <f t="shared" si="40"/>
        <v>0</v>
      </c>
      <c r="T81">
        <f t="shared" si="41"/>
        <v>0</v>
      </c>
      <c r="U81">
        <f t="shared" si="42"/>
        <v>0</v>
      </c>
      <c r="V81">
        <f t="shared" si="43"/>
        <v>0</v>
      </c>
    </row>
    <row r="82" spans="1:22" x14ac:dyDescent="0.25">
      <c r="A82" t="s">
        <v>84</v>
      </c>
      <c r="B82">
        <v>0</v>
      </c>
      <c r="C82">
        <v>0</v>
      </c>
      <c r="D82">
        <f t="shared" si="33"/>
        <v>0</v>
      </c>
      <c r="E82" t="str">
        <f t="shared" si="34"/>
        <v/>
      </c>
      <c r="F82">
        <v>0</v>
      </c>
      <c r="G82">
        <v>0</v>
      </c>
      <c r="H82">
        <f t="shared" si="35"/>
        <v>0</v>
      </c>
      <c r="I82" t="str">
        <f t="shared" si="36"/>
        <v/>
      </c>
      <c r="J82">
        <v>0</v>
      </c>
      <c r="K82">
        <v>0</v>
      </c>
      <c r="L82">
        <f t="shared" si="37"/>
        <v>0</v>
      </c>
      <c r="M82" t="str">
        <f t="shared" si="38"/>
        <v/>
      </c>
      <c r="N82">
        <v>0</v>
      </c>
      <c r="O82">
        <v>0</v>
      </c>
      <c r="P82">
        <f t="shared" si="39"/>
        <v>0</v>
      </c>
      <c r="Q82">
        <v>0</v>
      </c>
      <c r="R82">
        <v>0</v>
      </c>
      <c r="S82">
        <f t="shared" si="40"/>
        <v>0</v>
      </c>
      <c r="T82">
        <f t="shared" si="41"/>
        <v>0</v>
      </c>
      <c r="U82">
        <f t="shared" si="42"/>
        <v>0</v>
      </c>
      <c r="V82">
        <f t="shared" si="43"/>
        <v>0</v>
      </c>
    </row>
    <row r="83" spans="1:22" x14ac:dyDescent="0.25">
      <c r="A83" t="s">
        <v>85</v>
      </c>
      <c r="B83">
        <v>0</v>
      </c>
      <c r="C83">
        <v>0</v>
      </c>
      <c r="D83">
        <f t="shared" si="33"/>
        <v>0</v>
      </c>
      <c r="E83" t="str">
        <f t="shared" si="34"/>
        <v/>
      </c>
      <c r="F83">
        <v>0</v>
      </c>
      <c r="G83">
        <v>0</v>
      </c>
      <c r="H83">
        <f t="shared" si="35"/>
        <v>0</v>
      </c>
      <c r="I83" t="str">
        <f t="shared" si="36"/>
        <v/>
      </c>
      <c r="J83">
        <v>0</v>
      </c>
      <c r="K83">
        <v>0</v>
      </c>
      <c r="L83">
        <f t="shared" si="37"/>
        <v>0</v>
      </c>
      <c r="M83" t="str">
        <f t="shared" si="38"/>
        <v/>
      </c>
      <c r="N83">
        <v>0</v>
      </c>
      <c r="O83">
        <v>0</v>
      </c>
      <c r="P83">
        <f t="shared" si="39"/>
        <v>0</v>
      </c>
      <c r="Q83">
        <v>0</v>
      </c>
      <c r="R83">
        <v>0</v>
      </c>
      <c r="S83">
        <f t="shared" si="40"/>
        <v>0</v>
      </c>
      <c r="T83">
        <f t="shared" si="41"/>
        <v>0</v>
      </c>
      <c r="U83">
        <f t="shared" si="42"/>
        <v>0</v>
      </c>
      <c r="V83">
        <f t="shared" si="43"/>
        <v>0</v>
      </c>
    </row>
    <row r="84" spans="1:22" x14ac:dyDescent="0.25">
      <c r="A84" t="s">
        <v>86</v>
      </c>
      <c r="B84">
        <v>0</v>
      </c>
      <c r="C84">
        <v>0</v>
      </c>
      <c r="D84">
        <f t="shared" si="33"/>
        <v>0</v>
      </c>
      <c r="E84" t="str">
        <f t="shared" si="34"/>
        <v/>
      </c>
      <c r="F84">
        <v>0</v>
      </c>
      <c r="G84">
        <v>0</v>
      </c>
      <c r="H84">
        <f t="shared" si="35"/>
        <v>0</v>
      </c>
      <c r="I84" t="str">
        <f t="shared" si="36"/>
        <v/>
      </c>
      <c r="J84">
        <v>0</v>
      </c>
      <c r="K84">
        <v>0</v>
      </c>
      <c r="L84">
        <f t="shared" si="37"/>
        <v>0</v>
      </c>
      <c r="M84" t="str">
        <f t="shared" si="38"/>
        <v/>
      </c>
      <c r="N84">
        <v>0</v>
      </c>
      <c r="O84">
        <v>0</v>
      </c>
      <c r="P84">
        <f t="shared" si="39"/>
        <v>0</v>
      </c>
      <c r="Q84">
        <v>0</v>
      </c>
      <c r="R84">
        <v>0</v>
      </c>
      <c r="S84">
        <f t="shared" si="40"/>
        <v>0</v>
      </c>
      <c r="T84">
        <f t="shared" si="41"/>
        <v>0</v>
      </c>
      <c r="U84">
        <f t="shared" si="42"/>
        <v>0</v>
      </c>
      <c r="V84">
        <f t="shared" si="43"/>
        <v>0</v>
      </c>
    </row>
    <row r="85" spans="1:22" x14ac:dyDescent="0.25">
      <c r="A85" t="s">
        <v>87</v>
      </c>
      <c r="B85">
        <v>1</v>
      </c>
      <c r="C85">
        <v>0</v>
      </c>
      <c r="D85">
        <f t="shared" si="33"/>
        <v>1</v>
      </c>
      <c r="E85">
        <f t="shared" si="34"/>
        <v>25</v>
      </c>
      <c r="F85">
        <v>1</v>
      </c>
      <c r="G85">
        <v>0</v>
      </c>
      <c r="H85">
        <f t="shared" si="35"/>
        <v>1</v>
      </c>
      <c r="I85">
        <f t="shared" si="36"/>
        <v>25</v>
      </c>
      <c r="J85">
        <v>1</v>
      </c>
      <c r="K85">
        <v>1</v>
      </c>
      <c r="L85">
        <f t="shared" si="37"/>
        <v>2</v>
      </c>
      <c r="M85">
        <f t="shared" si="38"/>
        <v>50</v>
      </c>
      <c r="N85">
        <v>0</v>
      </c>
      <c r="O85">
        <v>0</v>
      </c>
      <c r="P85">
        <f t="shared" si="39"/>
        <v>0</v>
      </c>
      <c r="Q85">
        <v>0</v>
      </c>
      <c r="R85">
        <v>0</v>
      </c>
      <c r="S85">
        <f t="shared" si="40"/>
        <v>0</v>
      </c>
      <c r="T85">
        <f t="shared" si="41"/>
        <v>3</v>
      </c>
      <c r="U85">
        <f t="shared" si="42"/>
        <v>1</v>
      </c>
      <c r="V85">
        <f t="shared" si="43"/>
        <v>4</v>
      </c>
    </row>
    <row r="87" spans="1:22" x14ac:dyDescent="0.25">
      <c r="A87" s="8" t="s">
        <v>88</v>
      </c>
      <c r="B87" s="8" t="s">
        <v>88</v>
      </c>
      <c r="C87" s="8" t="s">
        <v>88</v>
      </c>
      <c r="D87" s="8" t="s">
        <v>88</v>
      </c>
      <c r="E87" s="8" t="s">
        <v>88</v>
      </c>
      <c r="F87" s="8" t="s">
        <v>88</v>
      </c>
      <c r="G87" s="8" t="s">
        <v>88</v>
      </c>
      <c r="H87" s="8" t="s">
        <v>88</v>
      </c>
      <c r="I87" s="8" t="s">
        <v>88</v>
      </c>
      <c r="J87" s="8" t="s">
        <v>88</v>
      </c>
      <c r="K87" s="8" t="s">
        <v>88</v>
      </c>
      <c r="L87" s="8" t="s">
        <v>88</v>
      </c>
      <c r="M87" s="8" t="s">
        <v>88</v>
      </c>
      <c r="N87" s="8" t="s">
        <v>88</v>
      </c>
      <c r="O87" s="8" t="s">
        <v>88</v>
      </c>
      <c r="P87" s="8" t="s">
        <v>88</v>
      </c>
      <c r="Q87" s="8" t="s">
        <v>88</v>
      </c>
      <c r="R87" s="8" t="s">
        <v>88</v>
      </c>
      <c r="S87" s="8" t="s">
        <v>88</v>
      </c>
      <c r="T87" s="8" t="s">
        <v>88</v>
      </c>
      <c r="U87" s="8" t="s">
        <v>88</v>
      </c>
      <c r="V87" s="8" t="s">
        <v>88</v>
      </c>
    </row>
    <row r="88" spans="1:22" x14ac:dyDescent="0.25">
      <c r="A88" t="s">
        <v>89</v>
      </c>
      <c r="B88">
        <v>0</v>
      </c>
      <c r="C88">
        <v>0</v>
      </c>
      <c r="D88">
        <f t="shared" ref="D88:D96" si="44">B88+C88</f>
        <v>0</v>
      </c>
      <c r="E88" t="str">
        <f t="shared" ref="E88:E96" si="45">IF(V88&gt;0,ROUND((D88/V88) * 100, 4), "")</f>
        <v/>
      </c>
      <c r="F88">
        <v>0</v>
      </c>
      <c r="G88">
        <v>0</v>
      </c>
      <c r="H88">
        <f t="shared" ref="H88:H96" si="46">F88+G88</f>
        <v>0</v>
      </c>
      <c r="I88" t="str">
        <f t="shared" ref="I88:I96" si="47">IF(V88&gt;0,ROUND((H88/V88) * 100, 4), "")</f>
        <v/>
      </c>
      <c r="J88">
        <v>0</v>
      </c>
      <c r="K88">
        <v>0</v>
      </c>
      <c r="L88">
        <f t="shared" ref="L88:L96" si="48">J88+K88</f>
        <v>0</v>
      </c>
      <c r="M88" t="str">
        <f t="shared" ref="M88:M96" si="49">IF(V88&gt;0,ROUND((L88/V88) * 100, 4), "")</f>
        <v/>
      </c>
      <c r="N88">
        <v>0</v>
      </c>
      <c r="O88">
        <v>0</v>
      </c>
      <c r="P88">
        <f t="shared" ref="P88:P96" si="50">N88+O88</f>
        <v>0</v>
      </c>
      <c r="Q88">
        <v>0</v>
      </c>
      <c r="R88">
        <v>0</v>
      </c>
      <c r="S88">
        <f t="shared" ref="S88:S96" si="51">Q88+R88</f>
        <v>0</v>
      </c>
      <c r="T88">
        <f t="shared" ref="T88:T96" si="52">B88+F88+J88</f>
        <v>0</v>
      </c>
      <c r="U88">
        <f t="shared" ref="U88:U96" si="53">C88+G88+K88</f>
        <v>0</v>
      </c>
      <c r="V88">
        <f t="shared" ref="V88:V96" si="54">T88+U88</f>
        <v>0</v>
      </c>
    </row>
    <row r="89" spans="1:22" x14ac:dyDescent="0.25">
      <c r="A89" t="s">
        <v>90</v>
      </c>
      <c r="B89">
        <v>0</v>
      </c>
      <c r="C89">
        <v>0</v>
      </c>
      <c r="D89">
        <f t="shared" si="44"/>
        <v>0</v>
      </c>
      <c r="E89">
        <f t="shared" si="45"/>
        <v>0</v>
      </c>
      <c r="F89">
        <v>0</v>
      </c>
      <c r="G89">
        <v>2</v>
      </c>
      <c r="H89">
        <f t="shared" si="46"/>
        <v>2</v>
      </c>
      <c r="I89">
        <f t="shared" si="47"/>
        <v>100</v>
      </c>
      <c r="J89">
        <v>0</v>
      </c>
      <c r="K89">
        <v>0</v>
      </c>
      <c r="L89">
        <f t="shared" si="48"/>
        <v>0</v>
      </c>
      <c r="M89">
        <f t="shared" si="49"/>
        <v>0</v>
      </c>
      <c r="N89">
        <v>0</v>
      </c>
      <c r="O89">
        <v>0</v>
      </c>
      <c r="P89">
        <f t="shared" si="50"/>
        <v>0</v>
      </c>
      <c r="Q89">
        <v>0</v>
      </c>
      <c r="R89">
        <v>0</v>
      </c>
      <c r="S89">
        <f t="shared" si="51"/>
        <v>0</v>
      </c>
      <c r="T89">
        <f t="shared" si="52"/>
        <v>0</v>
      </c>
      <c r="U89">
        <f t="shared" si="53"/>
        <v>2</v>
      </c>
      <c r="V89">
        <f t="shared" si="54"/>
        <v>2</v>
      </c>
    </row>
    <row r="90" spans="1:22" x14ac:dyDescent="0.25">
      <c r="A90" t="s">
        <v>91</v>
      </c>
      <c r="B90">
        <v>1</v>
      </c>
      <c r="C90">
        <v>12</v>
      </c>
      <c r="D90">
        <f t="shared" si="44"/>
        <v>13</v>
      </c>
      <c r="E90">
        <f t="shared" si="45"/>
        <v>8.9040999999999997</v>
      </c>
      <c r="F90">
        <v>19</v>
      </c>
      <c r="G90">
        <v>60</v>
      </c>
      <c r="H90">
        <f t="shared" si="46"/>
        <v>79</v>
      </c>
      <c r="I90">
        <f t="shared" si="47"/>
        <v>54.1096</v>
      </c>
      <c r="J90">
        <v>11</v>
      </c>
      <c r="K90">
        <v>43</v>
      </c>
      <c r="L90">
        <f t="shared" si="48"/>
        <v>54</v>
      </c>
      <c r="M90">
        <f t="shared" si="49"/>
        <v>36.9863</v>
      </c>
      <c r="N90">
        <v>0</v>
      </c>
      <c r="O90">
        <v>0</v>
      </c>
      <c r="P90">
        <f t="shared" si="50"/>
        <v>0</v>
      </c>
      <c r="Q90">
        <v>7</v>
      </c>
      <c r="R90">
        <v>38</v>
      </c>
      <c r="S90">
        <f t="shared" si="51"/>
        <v>45</v>
      </c>
      <c r="T90">
        <f t="shared" si="52"/>
        <v>31</v>
      </c>
      <c r="U90">
        <f t="shared" si="53"/>
        <v>115</v>
      </c>
      <c r="V90">
        <f t="shared" si="54"/>
        <v>146</v>
      </c>
    </row>
    <row r="91" spans="1:22" x14ac:dyDescent="0.25">
      <c r="A91" t="s">
        <v>92</v>
      </c>
      <c r="B91">
        <v>0</v>
      </c>
      <c r="C91">
        <v>0</v>
      </c>
      <c r="D91">
        <f t="shared" si="44"/>
        <v>0</v>
      </c>
      <c r="E91">
        <f t="shared" si="45"/>
        <v>0</v>
      </c>
      <c r="F91">
        <v>5</v>
      </c>
      <c r="G91">
        <v>3</v>
      </c>
      <c r="H91">
        <f t="shared" si="46"/>
        <v>8</v>
      </c>
      <c r="I91">
        <f t="shared" si="47"/>
        <v>53.333300000000001</v>
      </c>
      <c r="J91">
        <v>0</v>
      </c>
      <c r="K91">
        <v>7</v>
      </c>
      <c r="L91">
        <f t="shared" si="48"/>
        <v>7</v>
      </c>
      <c r="M91">
        <f t="shared" si="49"/>
        <v>46.666699999999999</v>
      </c>
      <c r="N91">
        <v>0</v>
      </c>
      <c r="O91">
        <v>0</v>
      </c>
      <c r="P91">
        <f t="shared" si="50"/>
        <v>0</v>
      </c>
      <c r="Q91">
        <v>0</v>
      </c>
      <c r="R91">
        <v>4</v>
      </c>
      <c r="S91">
        <f t="shared" si="51"/>
        <v>4</v>
      </c>
      <c r="T91">
        <f t="shared" si="52"/>
        <v>5</v>
      </c>
      <c r="U91">
        <f t="shared" si="53"/>
        <v>10</v>
      </c>
      <c r="V91">
        <f t="shared" si="54"/>
        <v>15</v>
      </c>
    </row>
    <row r="92" spans="1:22" x14ac:dyDescent="0.25">
      <c r="A92" t="s">
        <v>93</v>
      </c>
      <c r="B92">
        <v>1</v>
      </c>
      <c r="C92">
        <v>5</v>
      </c>
      <c r="D92">
        <f t="shared" si="44"/>
        <v>6</v>
      </c>
      <c r="E92">
        <f t="shared" si="45"/>
        <v>9.375</v>
      </c>
      <c r="F92">
        <v>7</v>
      </c>
      <c r="G92">
        <v>35</v>
      </c>
      <c r="H92">
        <f t="shared" si="46"/>
        <v>42</v>
      </c>
      <c r="I92">
        <f t="shared" si="47"/>
        <v>65.625</v>
      </c>
      <c r="J92">
        <v>5</v>
      </c>
      <c r="K92">
        <v>11</v>
      </c>
      <c r="L92">
        <f t="shared" si="48"/>
        <v>16</v>
      </c>
      <c r="M92">
        <f t="shared" si="49"/>
        <v>25</v>
      </c>
      <c r="N92">
        <v>3</v>
      </c>
      <c r="O92">
        <v>3</v>
      </c>
      <c r="P92">
        <f t="shared" si="50"/>
        <v>6</v>
      </c>
      <c r="Q92">
        <v>23</v>
      </c>
      <c r="R92">
        <v>41</v>
      </c>
      <c r="S92">
        <f t="shared" si="51"/>
        <v>64</v>
      </c>
      <c r="T92">
        <f t="shared" si="52"/>
        <v>13</v>
      </c>
      <c r="U92">
        <f t="shared" si="53"/>
        <v>51</v>
      </c>
      <c r="V92">
        <f t="shared" si="54"/>
        <v>64</v>
      </c>
    </row>
    <row r="93" spans="1:22" x14ac:dyDescent="0.25">
      <c r="A93" t="s">
        <v>94</v>
      </c>
      <c r="B93">
        <v>0</v>
      </c>
      <c r="C93">
        <v>0</v>
      </c>
      <c r="D93">
        <f t="shared" si="44"/>
        <v>0</v>
      </c>
      <c r="E93" t="str">
        <f t="shared" si="45"/>
        <v/>
      </c>
      <c r="F93">
        <v>0</v>
      </c>
      <c r="G93">
        <v>0</v>
      </c>
      <c r="H93">
        <f t="shared" si="46"/>
        <v>0</v>
      </c>
      <c r="I93" t="str">
        <f t="shared" si="47"/>
        <v/>
      </c>
      <c r="J93">
        <v>0</v>
      </c>
      <c r="K93">
        <v>0</v>
      </c>
      <c r="L93">
        <f t="shared" si="48"/>
        <v>0</v>
      </c>
      <c r="M93" t="str">
        <f t="shared" si="49"/>
        <v/>
      </c>
      <c r="N93">
        <v>0</v>
      </c>
      <c r="O93">
        <v>0</v>
      </c>
      <c r="P93">
        <f t="shared" si="50"/>
        <v>0</v>
      </c>
      <c r="Q93">
        <v>0</v>
      </c>
      <c r="R93">
        <v>0</v>
      </c>
      <c r="S93">
        <f t="shared" si="51"/>
        <v>0</v>
      </c>
      <c r="T93">
        <f t="shared" si="52"/>
        <v>0</v>
      </c>
      <c r="U93">
        <f t="shared" si="53"/>
        <v>0</v>
      </c>
      <c r="V93">
        <f t="shared" si="54"/>
        <v>0</v>
      </c>
    </row>
    <row r="94" spans="1:22" x14ac:dyDescent="0.25">
      <c r="A94" t="s">
        <v>95</v>
      </c>
      <c r="B94">
        <v>0</v>
      </c>
      <c r="C94">
        <v>0</v>
      </c>
      <c r="D94">
        <f t="shared" si="44"/>
        <v>0</v>
      </c>
      <c r="E94" t="str">
        <f t="shared" si="45"/>
        <v/>
      </c>
      <c r="F94">
        <v>0</v>
      </c>
      <c r="G94">
        <v>0</v>
      </c>
      <c r="H94">
        <f t="shared" si="46"/>
        <v>0</v>
      </c>
      <c r="I94" t="str">
        <f t="shared" si="47"/>
        <v/>
      </c>
      <c r="J94">
        <v>0</v>
      </c>
      <c r="K94">
        <v>0</v>
      </c>
      <c r="L94">
        <f t="shared" si="48"/>
        <v>0</v>
      </c>
      <c r="M94" t="str">
        <f t="shared" si="49"/>
        <v/>
      </c>
      <c r="N94">
        <v>1</v>
      </c>
      <c r="O94">
        <v>8</v>
      </c>
      <c r="P94">
        <f t="shared" si="50"/>
        <v>9</v>
      </c>
      <c r="Q94">
        <v>0</v>
      </c>
      <c r="R94">
        <v>0</v>
      </c>
      <c r="S94">
        <f t="shared" si="51"/>
        <v>0</v>
      </c>
      <c r="T94">
        <f t="shared" si="52"/>
        <v>0</v>
      </c>
      <c r="U94">
        <f t="shared" si="53"/>
        <v>0</v>
      </c>
      <c r="V94">
        <f t="shared" si="54"/>
        <v>0</v>
      </c>
    </row>
    <row r="95" spans="1:22" x14ac:dyDescent="0.25">
      <c r="A95" t="s">
        <v>96</v>
      </c>
      <c r="B95">
        <v>0</v>
      </c>
      <c r="C95">
        <v>0</v>
      </c>
      <c r="D95">
        <f t="shared" si="44"/>
        <v>0</v>
      </c>
      <c r="E95" t="str">
        <f t="shared" si="45"/>
        <v/>
      </c>
      <c r="F95">
        <v>0</v>
      </c>
      <c r="G95">
        <v>0</v>
      </c>
      <c r="H95">
        <f t="shared" si="46"/>
        <v>0</v>
      </c>
      <c r="I95" t="str">
        <f t="shared" si="47"/>
        <v/>
      </c>
      <c r="J95">
        <v>0</v>
      </c>
      <c r="K95">
        <v>0</v>
      </c>
      <c r="L95">
        <f t="shared" si="48"/>
        <v>0</v>
      </c>
      <c r="M95" t="str">
        <f t="shared" si="49"/>
        <v/>
      </c>
      <c r="N95">
        <v>0</v>
      </c>
      <c r="O95">
        <v>0</v>
      </c>
      <c r="P95">
        <f t="shared" si="50"/>
        <v>0</v>
      </c>
      <c r="Q95">
        <v>0</v>
      </c>
      <c r="R95">
        <v>0</v>
      </c>
      <c r="S95">
        <f t="shared" si="51"/>
        <v>0</v>
      </c>
      <c r="T95">
        <f t="shared" si="52"/>
        <v>0</v>
      </c>
      <c r="U95">
        <f t="shared" si="53"/>
        <v>0</v>
      </c>
      <c r="V95">
        <f t="shared" si="54"/>
        <v>0</v>
      </c>
    </row>
    <row r="96" spans="1:22" x14ac:dyDescent="0.25">
      <c r="A96" t="s">
        <v>97</v>
      </c>
      <c r="B96">
        <v>0</v>
      </c>
      <c r="C96">
        <v>4</v>
      </c>
      <c r="D96">
        <f t="shared" si="44"/>
        <v>4</v>
      </c>
      <c r="E96">
        <f t="shared" si="45"/>
        <v>22.222200000000001</v>
      </c>
      <c r="F96">
        <v>5</v>
      </c>
      <c r="G96">
        <v>7</v>
      </c>
      <c r="H96">
        <f t="shared" si="46"/>
        <v>12</v>
      </c>
      <c r="I96">
        <f t="shared" si="47"/>
        <v>66.666700000000006</v>
      </c>
      <c r="J96">
        <v>0</v>
      </c>
      <c r="K96">
        <v>2</v>
      </c>
      <c r="L96">
        <f t="shared" si="48"/>
        <v>2</v>
      </c>
      <c r="M96">
        <f t="shared" si="49"/>
        <v>11.1111</v>
      </c>
      <c r="N96">
        <v>0</v>
      </c>
      <c r="O96">
        <v>0</v>
      </c>
      <c r="P96">
        <f t="shared" si="50"/>
        <v>0</v>
      </c>
      <c r="Q96">
        <v>1</v>
      </c>
      <c r="R96">
        <v>7</v>
      </c>
      <c r="S96">
        <f t="shared" si="51"/>
        <v>8</v>
      </c>
      <c r="T96">
        <f t="shared" si="52"/>
        <v>5</v>
      </c>
      <c r="U96">
        <f t="shared" si="53"/>
        <v>13</v>
      </c>
      <c r="V96">
        <f t="shared" si="54"/>
        <v>18</v>
      </c>
    </row>
    <row r="98" spans="1:22" x14ac:dyDescent="0.25">
      <c r="A98" s="8" t="s">
        <v>98</v>
      </c>
      <c r="B98" s="8" t="s">
        <v>98</v>
      </c>
      <c r="C98" s="8" t="s">
        <v>98</v>
      </c>
      <c r="D98" s="8" t="s">
        <v>98</v>
      </c>
      <c r="E98" s="8" t="s">
        <v>98</v>
      </c>
      <c r="F98" s="8" t="s">
        <v>98</v>
      </c>
      <c r="G98" s="8" t="s">
        <v>98</v>
      </c>
      <c r="H98" s="8" t="s">
        <v>98</v>
      </c>
      <c r="I98" s="8" t="s">
        <v>98</v>
      </c>
      <c r="J98" s="8" t="s">
        <v>98</v>
      </c>
      <c r="K98" s="8" t="s">
        <v>98</v>
      </c>
      <c r="L98" s="8" t="s">
        <v>98</v>
      </c>
      <c r="M98" s="8" t="s">
        <v>98</v>
      </c>
      <c r="N98" s="8" t="s">
        <v>98</v>
      </c>
      <c r="O98" s="8" t="s">
        <v>98</v>
      </c>
      <c r="P98" s="8" t="s">
        <v>98</v>
      </c>
      <c r="Q98" s="8" t="s">
        <v>98</v>
      </c>
      <c r="R98" s="8" t="s">
        <v>98</v>
      </c>
      <c r="S98" s="8" t="s">
        <v>98</v>
      </c>
      <c r="T98" s="8" t="s">
        <v>98</v>
      </c>
      <c r="U98" s="8" t="s">
        <v>98</v>
      </c>
      <c r="V98" s="8" t="s">
        <v>98</v>
      </c>
    </row>
    <row r="99" spans="1:22" x14ac:dyDescent="0.25">
      <c r="A99" t="s">
        <v>99</v>
      </c>
      <c r="B99">
        <v>1</v>
      </c>
      <c r="C99">
        <v>1</v>
      </c>
      <c r="D99">
        <f t="shared" ref="D99:D112" si="55">B99+C99</f>
        <v>2</v>
      </c>
      <c r="E99">
        <f t="shared" ref="E99:E112" si="56">IF(V99&gt;0,ROUND((D99/V99) * 100, 4), "")</f>
        <v>100</v>
      </c>
      <c r="F99">
        <v>0</v>
      </c>
      <c r="G99">
        <v>0</v>
      </c>
      <c r="H99">
        <f t="shared" ref="H99:H112" si="57">F99+G99</f>
        <v>0</v>
      </c>
      <c r="I99">
        <f t="shared" ref="I99:I112" si="58">IF(V99&gt;0,ROUND((H99/V99) * 100, 4), "")</f>
        <v>0</v>
      </c>
      <c r="J99">
        <v>0</v>
      </c>
      <c r="K99">
        <v>0</v>
      </c>
      <c r="L99">
        <f t="shared" ref="L99:L112" si="59">J99+K99</f>
        <v>0</v>
      </c>
      <c r="M99">
        <f t="shared" ref="M99:M112" si="60">IF(V99&gt;0,ROUND((L99/V99) * 100, 4), "")</f>
        <v>0</v>
      </c>
      <c r="N99">
        <v>0</v>
      </c>
      <c r="O99">
        <v>0</v>
      </c>
      <c r="P99">
        <f t="shared" ref="P99:P112" si="61">N99+O99</f>
        <v>0</v>
      </c>
      <c r="Q99">
        <v>0</v>
      </c>
      <c r="R99">
        <v>0</v>
      </c>
      <c r="S99">
        <f t="shared" ref="S99:S112" si="62">Q99+R99</f>
        <v>0</v>
      </c>
      <c r="T99">
        <f t="shared" ref="T99:T112" si="63">B99+F99+J99</f>
        <v>1</v>
      </c>
      <c r="U99">
        <f t="shared" ref="U99:U112" si="64">C99+G99+K99</f>
        <v>1</v>
      </c>
      <c r="V99">
        <f t="shared" ref="V99:V112" si="65">T99+U99</f>
        <v>2</v>
      </c>
    </row>
    <row r="100" spans="1:22" x14ac:dyDescent="0.25">
      <c r="A100" t="s">
        <v>100</v>
      </c>
      <c r="B100">
        <v>0</v>
      </c>
      <c r="C100">
        <v>0</v>
      </c>
      <c r="D100">
        <f t="shared" si="55"/>
        <v>0</v>
      </c>
      <c r="E100" t="str">
        <f t="shared" si="56"/>
        <v/>
      </c>
      <c r="F100">
        <v>0</v>
      </c>
      <c r="G100">
        <v>0</v>
      </c>
      <c r="H100">
        <f t="shared" si="57"/>
        <v>0</v>
      </c>
      <c r="I100" t="str">
        <f t="shared" si="58"/>
        <v/>
      </c>
      <c r="J100">
        <v>0</v>
      </c>
      <c r="K100">
        <v>0</v>
      </c>
      <c r="L100">
        <f t="shared" si="59"/>
        <v>0</v>
      </c>
      <c r="M100" t="str">
        <f t="shared" si="60"/>
        <v/>
      </c>
      <c r="N100">
        <v>0</v>
      </c>
      <c r="O100">
        <v>0</v>
      </c>
      <c r="P100">
        <f t="shared" si="61"/>
        <v>0</v>
      </c>
      <c r="Q100">
        <v>0</v>
      </c>
      <c r="R100">
        <v>0</v>
      </c>
      <c r="S100">
        <f t="shared" si="62"/>
        <v>0</v>
      </c>
      <c r="T100">
        <f t="shared" si="63"/>
        <v>0</v>
      </c>
      <c r="U100">
        <f t="shared" si="64"/>
        <v>0</v>
      </c>
      <c r="V100">
        <f t="shared" si="65"/>
        <v>0</v>
      </c>
    </row>
    <row r="101" spans="1:22" x14ac:dyDescent="0.25">
      <c r="A101" t="s">
        <v>101</v>
      </c>
      <c r="B101">
        <v>1</v>
      </c>
      <c r="C101">
        <v>1</v>
      </c>
      <c r="D101">
        <f t="shared" si="55"/>
        <v>2</v>
      </c>
      <c r="E101">
        <f t="shared" si="56"/>
        <v>5.5556000000000001</v>
      </c>
      <c r="F101">
        <v>0</v>
      </c>
      <c r="G101">
        <v>21</v>
      </c>
      <c r="H101">
        <f t="shared" si="57"/>
        <v>21</v>
      </c>
      <c r="I101">
        <f t="shared" si="58"/>
        <v>58.333300000000001</v>
      </c>
      <c r="J101">
        <v>1</v>
      </c>
      <c r="K101">
        <v>12</v>
      </c>
      <c r="L101">
        <f t="shared" si="59"/>
        <v>13</v>
      </c>
      <c r="M101">
        <f t="shared" si="60"/>
        <v>36.1111</v>
      </c>
      <c r="N101">
        <v>0</v>
      </c>
      <c r="O101">
        <v>0</v>
      </c>
      <c r="P101">
        <f t="shared" si="61"/>
        <v>0</v>
      </c>
      <c r="Q101">
        <v>1</v>
      </c>
      <c r="R101">
        <v>12</v>
      </c>
      <c r="S101">
        <f t="shared" si="62"/>
        <v>13</v>
      </c>
      <c r="T101">
        <f t="shared" si="63"/>
        <v>2</v>
      </c>
      <c r="U101">
        <f t="shared" si="64"/>
        <v>34</v>
      </c>
      <c r="V101">
        <f t="shared" si="65"/>
        <v>36</v>
      </c>
    </row>
    <row r="102" spans="1:22" x14ac:dyDescent="0.25">
      <c r="A102" t="s">
        <v>102</v>
      </c>
      <c r="B102">
        <v>0</v>
      </c>
      <c r="C102">
        <v>0</v>
      </c>
      <c r="D102">
        <f t="shared" si="55"/>
        <v>0</v>
      </c>
      <c r="E102" t="str">
        <f t="shared" si="56"/>
        <v/>
      </c>
      <c r="F102">
        <v>0</v>
      </c>
      <c r="G102">
        <v>0</v>
      </c>
      <c r="H102">
        <f t="shared" si="57"/>
        <v>0</v>
      </c>
      <c r="I102" t="str">
        <f t="shared" si="58"/>
        <v/>
      </c>
      <c r="J102">
        <v>0</v>
      </c>
      <c r="K102">
        <v>0</v>
      </c>
      <c r="L102">
        <f t="shared" si="59"/>
        <v>0</v>
      </c>
      <c r="M102" t="str">
        <f t="shared" si="60"/>
        <v/>
      </c>
      <c r="N102">
        <v>0</v>
      </c>
      <c r="O102">
        <v>0</v>
      </c>
      <c r="P102">
        <f t="shared" si="61"/>
        <v>0</v>
      </c>
      <c r="Q102">
        <v>0</v>
      </c>
      <c r="R102">
        <v>0</v>
      </c>
      <c r="S102">
        <f t="shared" si="62"/>
        <v>0</v>
      </c>
      <c r="T102">
        <f t="shared" si="63"/>
        <v>0</v>
      </c>
      <c r="U102">
        <f t="shared" si="64"/>
        <v>0</v>
      </c>
      <c r="V102">
        <f t="shared" si="65"/>
        <v>0</v>
      </c>
    </row>
    <row r="103" spans="1:22" x14ac:dyDescent="0.25">
      <c r="A103" t="s">
        <v>103</v>
      </c>
      <c r="B103">
        <v>24</v>
      </c>
      <c r="C103">
        <v>15</v>
      </c>
      <c r="D103">
        <f t="shared" si="55"/>
        <v>39</v>
      </c>
      <c r="E103">
        <f t="shared" si="56"/>
        <v>35.779800000000002</v>
      </c>
      <c r="F103">
        <v>21</v>
      </c>
      <c r="G103">
        <v>16</v>
      </c>
      <c r="H103">
        <f t="shared" si="57"/>
        <v>37</v>
      </c>
      <c r="I103">
        <f t="shared" si="58"/>
        <v>33.945</v>
      </c>
      <c r="J103">
        <v>15</v>
      </c>
      <c r="K103">
        <v>18</v>
      </c>
      <c r="L103">
        <f t="shared" si="59"/>
        <v>33</v>
      </c>
      <c r="M103">
        <f t="shared" si="60"/>
        <v>30.275200000000002</v>
      </c>
      <c r="N103">
        <v>0</v>
      </c>
      <c r="O103">
        <v>1</v>
      </c>
      <c r="P103">
        <f t="shared" si="61"/>
        <v>1</v>
      </c>
      <c r="Q103">
        <v>25</v>
      </c>
      <c r="R103">
        <v>1</v>
      </c>
      <c r="S103">
        <f t="shared" si="62"/>
        <v>26</v>
      </c>
      <c r="T103">
        <f t="shared" si="63"/>
        <v>60</v>
      </c>
      <c r="U103">
        <f t="shared" si="64"/>
        <v>49</v>
      </c>
      <c r="V103">
        <f t="shared" si="65"/>
        <v>109</v>
      </c>
    </row>
    <row r="104" spans="1:22" x14ac:dyDescent="0.25">
      <c r="A104" t="s">
        <v>104</v>
      </c>
      <c r="B104">
        <v>6</v>
      </c>
      <c r="C104">
        <v>8</v>
      </c>
      <c r="D104">
        <f t="shared" si="55"/>
        <v>14</v>
      </c>
      <c r="E104">
        <f t="shared" si="56"/>
        <v>11.0236</v>
      </c>
      <c r="F104">
        <v>43</v>
      </c>
      <c r="G104">
        <v>34</v>
      </c>
      <c r="H104">
        <f t="shared" si="57"/>
        <v>77</v>
      </c>
      <c r="I104">
        <f t="shared" si="58"/>
        <v>60.629899999999999</v>
      </c>
      <c r="J104">
        <v>12</v>
      </c>
      <c r="K104">
        <v>24</v>
      </c>
      <c r="L104">
        <f t="shared" si="59"/>
        <v>36</v>
      </c>
      <c r="M104">
        <f t="shared" si="60"/>
        <v>28.346499999999999</v>
      </c>
      <c r="N104">
        <v>5</v>
      </c>
      <c r="O104">
        <v>8</v>
      </c>
      <c r="P104">
        <f t="shared" si="61"/>
        <v>13</v>
      </c>
      <c r="Q104">
        <v>14</v>
      </c>
      <c r="R104">
        <v>35</v>
      </c>
      <c r="S104">
        <f t="shared" si="62"/>
        <v>49</v>
      </c>
      <c r="T104">
        <f t="shared" si="63"/>
        <v>61</v>
      </c>
      <c r="U104">
        <f t="shared" si="64"/>
        <v>66</v>
      </c>
      <c r="V104">
        <f t="shared" si="65"/>
        <v>127</v>
      </c>
    </row>
    <row r="105" spans="1:22" x14ac:dyDescent="0.25">
      <c r="A105" t="s">
        <v>105</v>
      </c>
      <c r="B105">
        <v>0</v>
      </c>
      <c r="C105">
        <v>0</v>
      </c>
      <c r="D105">
        <f t="shared" si="55"/>
        <v>0</v>
      </c>
      <c r="E105">
        <f t="shared" si="56"/>
        <v>0</v>
      </c>
      <c r="F105">
        <v>0</v>
      </c>
      <c r="G105">
        <v>6</v>
      </c>
      <c r="H105">
        <f t="shared" si="57"/>
        <v>6</v>
      </c>
      <c r="I105">
        <f t="shared" si="58"/>
        <v>60</v>
      </c>
      <c r="J105">
        <v>1</v>
      </c>
      <c r="K105">
        <v>3</v>
      </c>
      <c r="L105">
        <f t="shared" si="59"/>
        <v>4</v>
      </c>
      <c r="M105">
        <f t="shared" si="60"/>
        <v>40</v>
      </c>
      <c r="N105">
        <v>0</v>
      </c>
      <c r="O105">
        <v>1</v>
      </c>
      <c r="P105">
        <f t="shared" si="61"/>
        <v>1</v>
      </c>
      <c r="Q105">
        <v>0</v>
      </c>
      <c r="R105">
        <v>1</v>
      </c>
      <c r="S105">
        <f t="shared" si="62"/>
        <v>1</v>
      </c>
      <c r="T105">
        <f t="shared" si="63"/>
        <v>1</v>
      </c>
      <c r="U105">
        <f t="shared" si="64"/>
        <v>9</v>
      </c>
      <c r="V105">
        <f t="shared" si="65"/>
        <v>10</v>
      </c>
    </row>
    <row r="106" spans="1:22" x14ac:dyDescent="0.25">
      <c r="A106" t="s">
        <v>106</v>
      </c>
      <c r="B106">
        <v>1</v>
      </c>
      <c r="C106">
        <v>3</v>
      </c>
      <c r="D106">
        <f t="shared" si="55"/>
        <v>4</v>
      </c>
      <c r="E106">
        <f t="shared" si="56"/>
        <v>5.8823999999999996</v>
      </c>
      <c r="F106">
        <v>22</v>
      </c>
      <c r="G106">
        <v>19</v>
      </c>
      <c r="H106">
        <f t="shared" si="57"/>
        <v>41</v>
      </c>
      <c r="I106">
        <f t="shared" si="58"/>
        <v>60.2941</v>
      </c>
      <c r="J106">
        <v>14</v>
      </c>
      <c r="K106">
        <v>9</v>
      </c>
      <c r="L106">
        <f t="shared" si="59"/>
        <v>23</v>
      </c>
      <c r="M106">
        <f t="shared" si="60"/>
        <v>33.823500000000003</v>
      </c>
      <c r="N106">
        <v>1</v>
      </c>
      <c r="O106">
        <v>1</v>
      </c>
      <c r="P106">
        <f t="shared" si="61"/>
        <v>2</v>
      </c>
      <c r="Q106">
        <v>5</v>
      </c>
      <c r="R106">
        <v>1</v>
      </c>
      <c r="S106">
        <f t="shared" si="62"/>
        <v>6</v>
      </c>
      <c r="T106">
        <f t="shared" si="63"/>
        <v>37</v>
      </c>
      <c r="U106">
        <f t="shared" si="64"/>
        <v>31</v>
      </c>
      <c r="V106">
        <f t="shared" si="65"/>
        <v>68</v>
      </c>
    </row>
    <row r="107" spans="1:22" x14ac:dyDescent="0.25">
      <c r="A107" t="s">
        <v>107</v>
      </c>
      <c r="B107">
        <v>2</v>
      </c>
      <c r="C107">
        <v>5</v>
      </c>
      <c r="D107">
        <f t="shared" si="55"/>
        <v>7</v>
      </c>
      <c r="E107">
        <f t="shared" si="56"/>
        <v>13.7255</v>
      </c>
      <c r="F107">
        <v>17</v>
      </c>
      <c r="G107">
        <v>16</v>
      </c>
      <c r="H107">
        <f t="shared" si="57"/>
        <v>33</v>
      </c>
      <c r="I107">
        <f t="shared" si="58"/>
        <v>64.7059</v>
      </c>
      <c r="J107">
        <v>3</v>
      </c>
      <c r="K107">
        <v>8</v>
      </c>
      <c r="L107">
        <f t="shared" si="59"/>
        <v>11</v>
      </c>
      <c r="M107">
        <f t="shared" si="60"/>
        <v>21.5686</v>
      </c>
      <c r="N107">
        <v>1</v>
      </c>
      <c r="O107">
        <v>0</v>
      </c>
      <c r="P107">
        <f t="shared" si="61"/>
        <v>1</v>
      </c>
      <c r="Q107">
        <v>10</v>
      </c>
      <c r="R107">
        <v>1</v>
      </c>
      <c r="S107">
        <f t="shared" si="62"/>
        <v>11</v>
      </c>
      <c r="T107">
        <f t="shared" si="63"/>
        <v>22</v>
      </c>
      <c r="U107">
        <f t="shared" si="64"/>
        <v>29</v>
      </c>
      <c r="V107">
        <f t="shared" si="65"/>
        <v>51</v>
      </c>
    </row>
    <row r="108" spans="1:22" x14ac:dyDescent="0.25">
      <c r="A108" t="s">
        <v>108</v>
      </c>
      <c r="B108">
        <v>0</v>
      </c>
      <c r="C108">
        <v>0</v>
      </c>
      <c r="D108">
        <f t="shared" si="55"/>
        <v>0</v>
      </c>
      <c r="E108">
        <f t="shared" si="56"/>
        <v>0</v>
      </c>
      <c r="F108">
        <v>0</v>
      </c>
      <c r="G108">
        <v>5</v>
      </c>
      <c r="H108">
        <f t="shared" si="57"/>
        <v>5</v>
      </c>
      <c r="I108">
        <f t="shared" si="58"/>
        <v>38.461500000000001</v>
      </c>
      <c r="J108">
        <v>0</v>
      </c>
      <c r="K108">
        <v>8</v>
      </c>
      <c r="L108">
        <f t="shared" si="59"/>
        <v>8</v>
      </c>
      <c r="M108">
        <f t="shared" si="60"/>
        <v>61.538499999999999</v>
      </c>
      <c r="N108">
        <v>0</v>
      </c>
      <c r="O108">
        <v>0</v>
      </c>
      <c r="P108">
        <f t="shared" si="61"/>
        <v>0</v>
      </c>
      <c r="Q108">
        <v>0</v>
      </c>
      <c r="R108">
        <v>0</v>
      </c>
      <c r="S108">
        <f t="shared" si="62"/>
        <v>0</v>
      </c>
      <c r="T108">
        <f t="shared" si="63"/>
        <v>0</v>
      </c>
      <c r="U108">
        <f t="shared" si="64"/>
        <v>13</v>
      </c>
      <c r="V108">
        <f t="shared" si="65"/>
        <v>13</v>
      </c>
    </row>
    <row r="109" spans="1:22" x14ac:dyDescent="0.25">
      <c r="A109" t="s">
        <v>109</v>
      </c>
      <c r="B109">
        <v>0</v>
      </c>
      <c r="C109">
        <v>0</v>
      </c>
      <c r="D109">
        <f t="shared" si="55"/>
        <v>0</v>
      </c>
      <c r="E109">
        <f t="shared" si="56"/>
        <v>0</v>
      </c>
      <c r="F109">
        <v>0</v>
      </c>
      <c r="G109">
        <v>0</v>
      </c>
      <c r="H109">
        <f t="shared" si="57"/>
        <v>0</v>
      </c>
      <c r="I109">
        <f t="shared" si="58"/>
        <v>0</v>
      </c>
      <c r="J109">
        <v>0</v>
      </c>
      <c r="K109">
        <v>5</v>
      </c>
      <c r="L109">
        <f t="shared" si="59"/>
        <v>5</v>
      </c>
      <c r="M109">
        <f t="shared" si="60"/>
        <v>100</v>
      </c>
      <c r="N109">
        <v>0</v>
      </c>
      <c r="O109">
        <v>0</v>
      </c>
      <c r="P109">
        <f t="shared" si="61"/>
        <v>0</v>
      </c>
      <c r="Q109">
        <v>0</v>
      </c>
      <c r="R109">
        <v>0</v>
      </c>
      <c r="S109">
        <f t="shared" si="62"/>
        <v>0</v>
      </c>
      <c r="T109">
        <f t="shared" si="63"/>
        <v>0</v>
      </c>
      <c r="U109">
        <f t="shared" si="64"/>
        <v>5</v>
      </c>
      <c r="V109">
        <f t="shared" si="65"/>
        <v>5</v>
      </c>
    </row>
    <row r="110" spans="1:22" x14ac:dyDescent="0.25">
      <c r="A110" t="s">
        <v>110</v>
      </c>
      <c r="B110">
        <v>0</v>
      </c>
      <c r="C110">
        <v>2</v>
      </c>
      <c r="D110">
        <f t="shared" si="55"/>
        <v>2</v>
      </c>
      <c r="E110">
        <f t="shared" si="56"/>
        <v>50</v>
      </c>
      <c r="F110">
        <v>0</v>
      </c>
      <c r="G110">
        <v>1</v>
      </c>
      <c r="H110">
        <f t="shared" si="57"/>
        <v>1</v>
      </c>
      <c r="I110">
        <f t="shared" si="58"/>
        <v>25</v>
      </c>
      <c r="J110">
        <v>0</v>
      </c>
      <c r="K110">
        <v>1</v>
      </c>
      <c r="L110">
        <f t="shared" si="59"/>
        <v>1</v>
      </c>
      <c r="M110">
        <f t="shared" si="60"/>
        <v>25</v>
      </c>
      <c r="N110">
        <v>0</v>
      </c>
      <c r="O110">
        <v>0</v>
      </c>
      <c r="P110">
        <f t="shared" si="61"/>
        <v>0</v>
      </c>
      <c r="Q110">
        <v>0</v>
      </c>
      <c r="R110">
        <v>3</v>
      </c>
      <c r="S110">
        <f t="shared" si="62"/>
        <v>3</v>
      </c>
      <c r="T110">
        <f t="shared" si="63"/>
        <v>0</v>
      </c>
      <c r="U110">
        <f t="shared" si="64"/>
        <v>4</v>
      </c>
      <c r="V110">
        <f t="shared" si="65"/>
        <v>4</v>
      </c>
    </row>
    <row r="111" spans="1:22" x14ac:dyDescent="0.25">
      <c r="A111" t="s">
        <v>111</v>
      </c>
      <c r="B111">
        <v>0</v>
      </c>
      <c r="C111">
        <v>0</v>
      </c>
      <c r="D111">
        <f t="shared" si="55"/>
        <v>0</v>
      </c>
      <c r="E111" t="str">
        <f t="shared" si="56"/>
        <v/>
      </c>
      <c r="F111">
        <v>0</v>
      </c>
      <c r="G111">
        <v>0</v>
      </c>
      <c r="H111">
        <f t="shared" si="57"/>
        <v>0</v>
      </c>
      <c r="I111" t="str">
        <f t="shared" si="58"/>
        <v/>
      </c>
      <c r="J111">
        <v>0</v>
      </c>
      <c r="K111">
        <v>0</v>
      </c>
      <c r="L111">
        <f t="shared" si="59"/>
        <v>0</v>
      </c>
      <c r="M111" t="str">
        <f t="shared" si="60"/>
        <v/>
      </c>
      <c r="N111">
        <v>0</v>
      </c>
      <c r="O111">
        <v>0</v>
      </c>
      <c r="P111">
        <f t="shared" si="61"/>
        <v>0</v>
      </c>
      <c r="Q111">
        <v>1</v>
      </c>
      <c r="R111">
        <v>0</v>
      </c>
      <c r="S111">
        <f t="shared" si="62"/>
        <v>1</v>
      </c>
      <c r="T111">
        <f t="shared" si="63"/>
        <v>0</v>
      </c>
      <c r="U111">
        <f t="shared" si="64"/>
        <v>0</v>
      </c>
      <c r="V111">
        <f t="shared" si="65"/>
        <v>0</v>
      </c>
    </row>
    <row r="112" spans="1:22" x14ac:dyDescent="0.25">
      <c r="A112" t="s">
        <v>112</v>
      </c>
      <c r="B112">
        <v>0</v>
      </c>
      <c r="C112">
        <v>0</v>
      </c>
      <c r="D112">
        <f t="shared" si="55"/>
        <v>0</v>
      </c>
      <c r="E112" t="str">
        <f t="shared" si="56"/>
        <v/>
      </c>
      <c r="F112">
        <v>0</v>
      </c>
      <c r="G112">
        <v>0</v>
      </c>
      <c r="H112">
        <f t="shared" si="57"/>
        <v>0</v>
      </c>
      <c r="I112" t="str">
        <f t="shared" si="58"/>
        <v/>
      </c>
      <c r="J112">
        <v>0</v>
      </c>
      <c r="K112">
        <v>0</v>
      </c>
      <c r="L112">
        <f t="shared" si="59"/>
        <v>0</v>
      </c>
      <c r="M112" t="str">
        <f t="shared" si="60"/>
        <v/>
      </c>
      <c r="N112">
        <v>0</v>
      </c>
      <c r="O112">
        <v>0</v>
      </c>
      <c r="P112">
        <f t="shared" si="61"/>
        <v>0</v>
      </c>
      <c r="Q112">
        <v>0</v>
      </c>
      <c r="R112">
        <v>0</v>
      </c>
      <c r="S112">
        <f t="shared" si="62"/>
        <v>0</v>
      </c>
      <c r="T112">
        <f t="shared" si="63"/>
        <v>0</v>
      </c>
      <c r="U112">
        <f t="shared" si="64"/>
        <v>0</v>
      </c>
      <c r="V112">
        <f t="shared" si="65"/>
        <v>0</v>
      </c>
    </row>
    <row r="114" spans="1:22" x14ac:dyDescent="0.25">
      <c r="A114" s="8" t="s">
        <v>113</v>
      </c>
      <c r="B114" s="8" t="s">
        <v>113</v>
      </c>
      <c r="C114" s="8" t="s">
        <v>113</v>
      </c>
      <c r="D114" s="8" t="s">
        <v>113</v>
      </c>
      <c r="E114" s="8" t="s">
        <v>113</v>
      </c>
      <c r="F114" s="8" t="s">
        <v>113</v>
      </c>
      <c r="G114" s="8" t="s">
        <v>113</v>
      </c>
      <c r="H114" s="8" t="s">
        <v>113</v>
      </c>
      <c r="I114" s="8" t="s">
        <v>113</v>
      </c>
      <c r="J114" s="8" t="s">
        <v>113</v>
      </c>
      <c r="K114" s="8" t="s">
        <v>113</v>
      </c>
      <c r="L114" s="8" t="s">
        <v>113</v>
      </c>
      <c r="M114" s="8" t="s">
        <v>113</v>
      </c>
      <c r="N114" s="8" t="s">
        <v>113</v>
      </c>
      <c r="O114" s="8" t="s">
        <v>113</v>
      </c>
      <c r="P114" s="8" t="s">
        <v>113</v>
      </c>
      <c r="Q114" s="8" t="s">
        <v>113</v>
      </c>
      <c r="R114" s="8" t="s">
        <v>113</v>
      </c>
      <c r="S114" s="8" t="s">
        <v>113</v>
      </c>
      <c r="T114" s="8" t="s">
        <v>113</v>
      </c>
      <c r="U114" s="8" t="s">
        <v>113</v>
      </c>
      <c r="V114" s="8" t="s">
        <v>113</v>
      </c>
    </row>
    <row r="115" spans="1:22" x14ac:dyDescent="0.25">
      <c r="A115" t="s">
        <v>114</v>
      </c>
      <c r="B115">
        <v>13</v>
      </c>
      <c r="C115">
        <v>4</v>
      </c>
      <c r="D115">
        <f t="shared" ref="D115:D122" si="66">B115+C115</f>
        <v>17</v>
      </c>
      <c r="E115">
        <f t="shared" ref="E115:E122" si="67">IF(V115&gt;0,ROUND((D115/V115) * 100, 4), "")</f>
        <v>20.9877</v>
      </c>
      <c r="F115">
        <v>11</v>
      </c>
      <c r="G115">
        <v>20</v>
      </c>
      <c r="H115">
        <f t="shared" ref="H115:H122" si="68">F115+G115</f>
        <v>31</v>
      </c>
      <c r="I115">
        <f t="shared" ref="I115:I122" si="69">IF(V115&gt;0,ROUND((H115/V115) * 100, 4), "")</f>
        <v>38.271599999999999</v>
      </c>
      <c r="J115">
        <v>25</v>
      </c>
      <c r="K115">
        <v>8</v>
      </c>
      <c r="L115">
        <f t="shared" ref="L115:L122" si="70">J115+K115</f>
        <v>33</v>
      </c>
      <c r="M115">
        <f t="shared" ref="M115:M122" si="71">IF(V115&gt;0,ROUND((L115/V115) * 100, 4), "")</f>
        <v>40.740699999999997</v>
      </c>
      <c r="N115">
        <v>0</v>
      </c>
      <c r="O115">
        <v>0</v>
      </c>
      <c r="P115">
        <f t="shared" ref="P115:P122" si="72">N115+O115</f>
        <v>0</v>
      </c>
      <c r="Q115">
        <v>5</v>
      </c>
      <c r="R115">
        <v>5</v>
      </c>
      <c r="S115">
        <f t="shared" ref="S115:S122" si="73">Q115+R115</f>
        <v>10</v>
      </c>
      <c r="T115">
        <f t="shared" ref="T115:U122" si="74">B115+F115+J115</f>
        <v>49</v>
      </c>
      <c r="U115">
        <f t="shared" si="74"/>
        <v>32</v>
      </c>
      <c r="V115">
        <f t="shared" ref="V115:V122" si="75">T115+U115</f>
        <v>81</v>
      </c>
    </row>
    <row r="116" spans="1:22" x14ac:dyDescent="0.25">
      <c r="A116" t="s">
        <v>115</v>
      </c>
      <c r="B116">
        <v>2</v>
      </c>
      <c r="C116">
        <v>0</v>
      </c>
      <c r="D116">
        <f t="shared" si="66"/>
        <v>2</v>
      </c>
      <c r="E116">
        <f t="shared" si="67"/>
        <v>25</v>
      </c>
      <c r="F116">
        <v>1</v>
      </c>
      <c r="G116">
        <v>2</v>
      </c>
      <c r="H116">
        <f t="shared" si="68"/>
        <v>3</v>
      </c>
      <c r="I116">
        <f t="shared" si="69"/>
        <v>37.5</v>
      </c>
      <c r="J116">
        <v>0</v>
      </c>
      <c r="K116">
        <v>3</v>
      </c>
      <c r="L116">
        <f t="shared" si="70"/>
        <v>3</v>
      </c>
      <c r="M116">
        <f t="shared" si="71"/>
        <v>37.5</v>
      </c>
      <c r="N116">
        <v>0</v>
      </c>
      <c r="O116">
        <v>0</v>
      </c>
      <c r="P116">
        <f t="shared" si="72"/>
        <v>0</v>
      </c>
      <c r="Q116">
        <v>0</v>
      </c>
      <c r="R116">
        <v>0</v>
      </c>
      <c r="S116">
        <f t="shared" si="73"/>
        <v>0</v>
      </c>
      <c r="T116">
        <f t="shared" si="74"/>
        <v>3</v>
      </c>
      <c r="U116">
        <f t="shared" si="74"/>
        <v>5</v>
      </c>
      <c r="V116">
        <f t="shared" si="75"/>
        <v>8</v>
      </c>
    </row>
    <row r="117" spans="1:22" x14ac:dyDescent="0.25">
      <c r="A117" t="s">
        <v>116</v>
      </c>
      <c r="B117">
        <v>2</v>
      </c>
      <c r="C117">
        <v>16</v>
      </c>
      <c r="D117">
        <f t="shared" si="66"/>
        <v>18</v>
      </c>
      <c r="E117">
        <f t="shared" si="67"/>
        <v>15.254200000000001</v>
      </c>
      <c r="F117">
        <v>9</v>
      </c>
      <c r="G117">
        <v>52</v>
      </c>
      <c r="H117">
        <f t="shared" si="68"/>
        <v>61</v>
      </c>
      <c r="I117">
        <f t="shared" si="69"/>
        <v>51.694899999999997</v>
      </c>
      <c r="J117">
        <v>13</v>
      </c>
      <c r="K117">
        <v>26</v>
      </c>
      <c r="L117">
        <f t="shared" si="70"/>
        <v>39</v>
      </c>
      <c r="M117">
        <f t="shared" si="71"/>
        <v>33.050800000000002</v>
      </c>
      <c r="N117">
        <v>0</v>
      </c>
      <c r="O117">
        <v>18</v>
      </c>
      <c r="P117">
        <f t="shared" si="72"/>
        <v>18</v>
      </c>
      <c r="Q117">
        <v>11</v>
      </c>
      <c r="R117">
        <v>41</v>
      </c>
      <c r="S117">
        <f t="shared" si="73"/>
        <v>52</v>
      </c>
      <c r="T117">
        <f t="shared" si="74"/>
        <v>24</v>
      </c>
      <c r="U117">
        <f t="shared" si="74"/>
        <v>94</v>
      </c>
      <c r="V117">
        <f t="shared" si="75"/>
        <v>118</v>
      </c>
    </row>
    <row r="118" spans="1:22" x14ac:dyDescent="0.25">
      <c r="A118" t="s">
        <v>117</v>
      </c>
      <c r="B118">
        <v>0</v>
      </c>
      <c r="C118">
        <v>1</v>
      </c>
      <c r="D118">
        <f t="shared" si="66"/>
        <v>1</v>
      </c>
      <c r="E118">
        <f t="shared" si="67"/>
        <v>8.3332999999999995</v>
      </c>
      <c r="F118">
        <v>0</v>
      </c>
      <c r="G118">
        <v>3</v>
      </c>
      <c r="H118">
        <f t="shared" si="68"/>
        <v>3</v>
      </c>
      <c r="I118">
        <f t="shared" si="69"/>
        <v>25</v>
      </c>
      <c r="J118">
        <v>0</v>
      </c>
      <c r="K118">
        <v>8</v>
      </c>
      <c r="L118">
        <f t="shared" si="70"/>
        <v>8</v>
      </c>
      <c r="M118">
        <f t="shared" si="71"/>
        <v>66.666700000000006</v>
      </c>
      <c r="N118">
        <v>0</v>
      </c>
      <c r="O118">
        <v>0</v>
      </c>
      <c r="P118">
        <f t="shared" si="72"/>
        <v>0</v>
      </c>
      <c r="Q118">
        <v>0</v>
      </c>
      <c r="R118">
        <v>6</v>
      </c>
      <c r="S118">
        <f t="shared" si="73"/>
        <v>6</v>
      </c>
      <c r="T118">
        <f t="shared" si="74"/>
        <v>0</v>
      </c>
      <c r="U118">
        <f t="shared" si="74"/>
        <v>12</v>
      </c>
      <c r="V118">
        <f t="shared" si="75"/>
        <v>12</v>
      </c>
    </row>
    <row r="119" spans="1:22" x14ac:dyDescent="0.25">
      <c r="A119" t="s">
        <v>118</v>
      </c>
      <c r="B119">
        <v>0</v>
      </c>
      <c r="C119">
        <v>5</v>
      </c>
      <c r="D119">
        <f t="shared" si="66"/>
        <v>5</v>
      </c>
      <c r="E119">
        <f t="shared" si="67"/>
        <v>41.666699999999999</v>
      </c>
      <c r="F119">
        <v>0</v>
      </c>
      <c r="G119">
        <v>1</v>
      </c>
      <c r="H119">
        <f t="shared" si="68"/>
        <v>1</v>
      </c>
      <c r="I119">
        <f t="shared" si="69"/>
        <v>8.3332999999999995</v>
      </c>
      <c r="J119">
        <v>0</v>
      </c>
      <c r="K119">
        <v>6</v>
      </c>
      <c r="L119">
        <f t="shared" si="70"/>
        <v>6</v>
      </c>
      <c r="M119">
        <f t="shared" si="71"/>
        <v>50</v>
      </c>
      <c r="N119">
        <v>0</v>
      </c>
      <c r="O119">
        <v>0</v>
      </c>
      <c r="P119">
        <f t="shared" si="72"/>
        <v>0</v>
      </c>
      <c r="Q119">
        <v>0</v>
      </c>
      <c r="R119">
        <v>2</v>
      </c>
      <c r="S119">
        <f t="shared" si="73"/>
        <v>2</v>
      </c>
      <c r="T119">
        <f t="shared" si="74"/>
        <v>0</v>
      </c>
      <c r="U119">
        <f t="shared" si="74"/>
        <v>12</v>
      </c>
      <c r="V119">
        <f t="shared" si="75"/>
        <v>12</v>
      </c>
    </row>
    <row r="120" spans="1:22" x14ac:dyDescent="0.25">
      <c r="A120" t="s">
        <v>119</v>
      </c>
      <c r="B120">
        <v>0</v>
      </c>
      <c r="C120">
        <v>0</v>
      </c>
      <c r="D120">
        <f t="shared" si="66"/>
        <v>0</v>
      </c>
      <c r="E120">
        <f t="shared" si="67"/>
        <v>0</v>
      </c>
      <c r="F120">
        <v>4</v>
      </c>
      <c r="G120">
        <v>0</v>
      </c>
      <c r="H120">
        <f t="shared" si="68"/>
        <v>4</v>
      </c>
      <c r="I120">
        <f t="shared" si="69"/>
        <v>21.052600000000002</v>
      </c>
      <c r="J120">
        <v>15</v>
      </c>
      <c r="K120">
        <v>0</v>
      </c>
      <c r="L120">
        <f t="shared" si="70"/>
        <v>15</v>
      </c>
      <c r="M120">
        <f t="shared" si="71"/>
        <v>78.947400000000002</v>
      </c>
      <c r="N120">
        <v>2</v>
      </c>
      <c r="O120">
        <v>0</v>
      </c>
      <c r="P120">
        <f t="shared" si="72"/>
        <v>2</v>
      </c>
      <c r="Q120">
        <v>3</v>
      </c>
      <c r="R120">
        <v>0</v>
      </c>
      <c r="S120">
        <f t="shared" si="73"/>
        <v>3</v>
      </c>
      <c r="T120">
        <f t="shared" si="74"/>
        <v>19</v>
      </c>
      <c r="U120">
        <f t="shared" si="74"/>
        <v>0</v>
      </c>
      <c r="V120">
        <f t="shared" si="75"/>
        <v>19</v>
      </c>
    </row>
    <row r="121" spans="1:22" x14ac:dyDescent="0.25">
      <c r="A121" t="s">
        <v>120</v>
      </c>
      <c r="B121">
        <v>0</v>
      </c>
      <c r="C121">
        <v>0</v>
      </c>
      <c r="D121">
        <f t="shared" si="66"/>
        <v>0</v>
      </c>
      <c r="E121">
        <f t="shared" si="67"/>
        <v>0</v>
      </c>
      <c r="F121">
        <v>2</v>
      </c>
      <c r="G121">
        <v>0</v>
      </c>
      <c r="H121">
        <f t="shared" si="68"/>
        <v>2</v>
      </c>
      <c r="I121">
        <f t="shared" si="69"/>
        <v>50</v>
      </c>
      <c r="J121">
        <v>0</v>
      </c>
      <c r="K121">
        <v>2</v>
      </c>
      <c r="L121">
        <f t="shared" si="70"/>
        <v>2</v>
      </c>
      <c r="M121">
        <f t="shared" si="71"/>
        <v>50</v>
      </c>
      <c r="N121">
        <v>2</v>
      </c>
      <c r="O121">
        <v>4</v>
      </c>
      <c r="P121">
        <f t="shared" si="72"/>
        <v>6</v>
      </c>
      <c r="Q121">
        <v>0</v>
      </c>
      <c r="R121">
        <v>2</v>
      </c>
      <c r="S121">
        <f t="shared" si="73"/>
        <v>2</v>
      </c>
      <c r="T121">
        <f t="shared" si="74"/>
        <v>2</v>
      </c>
      <c r="U121">
        <f t="shared" si="74"/>
        <v>2</v>
      </c>
      <c r="V121">
        <f t="shared" si="75"/>
        <v>4</v>
      </c>
    </row>
    <row r="122" spans="1:22" x14ac:dyDescent="0.25">
      <c r="A122" t="s">
        <v>121</v>
      </c>
      <c r="B122">
        <v>0</v>
      </c>
      <c r="C122">
        <v>0</v>
      </c>
      <c r="D122">
        <f t="shared" si="66"/>
        <v>0</v>
      </c>
      <c r="E122">
        <f t="shared" si="67"/>
        <v>0</v>
      </c>
      <c r="F122">
        <v>0</v>
      </c>
      <c r="G122">
        <v>2</v>
      </c>
      <c r="H122">
        <f t="shared" si="68"/>
        <v>2</v>
      </c>
      <c r="I122">
        <f t="shared" si="69"/>
        <v>100</v>
      </c>
      <c r="J122">
        <v>0</v>
      </c>
      <c r="K122">
        <v>0</v>
      </c>
      <c r="L122">
        <f t="shared" si="70"/>
        <v>0</v>
      </c>
      <c r="M122">
        <f t="shared" si="71"/>
        <v>0</v>
      </c>
      <c r="N122">
        <v>0</v>
      </c>
      <c r="O122">
        <v>1</v>
      </c>
      <c r="P122">
        <f t="shared" si="72"/>
        <v>1</v>
      </c>
      <c r="Q122">
        <v>0</v>
      </c>
      <c r="R122">
        <v>1</v>
      </c>
      <c r="S122">
        <f t="shared" si="73"/>
        <v>1</v>
      </c>
      <c r="T122">
        <f t="shared" si="74"/>
        <v>0</v>
      </c>
      <c r="U122">
        <f t="shared" si="74"/>
        <v>2</v>
      </c>
      <c r="V122">
        <f t="shared" si="75"/>
        <v>2</v>
      </c>
    </row>
    <row r="124" spans="1:22" x14ac:dyDescent="0.25">
      <c r="A124" s="8" t="s">
        <v>122</v>
      </c>
      <c r="B124" s="8" t="s">
        <v>122</v>
      </c>
      <c r="C124" s="8" t="s">
        <v>122</v>
      </c>
      <c r="D124" s="8" t="s">
        <v>122</v>
      </c>
      <c r="E124" s="8" t="s">
        <v>122</v>
      </c>
      <c r="F124" s="8" t="s">
        <v>122</v>
      </c>
      <c r="G124" s="8" t="s">
        <v>122</v>
      </c>
      <c r="H124" s="8" t="s">
        <v>122</v>
      </c>
      <c r="I124" s="8" t="s">
        <v>122</v>
      </c>
      <c r="J124" s="8" t="s">
        <v>122</v>
      </c>
      <c r="K124" s="8" t="s">
        <v>122</v>
      </c>
      <c r="L124" s="8" t="s">
        <v>122</v>
      </c>
      <c r="M124" s="8" t="s">
        <v>122</v>
      </c>
      <c r="N124" s="8" t="s">
        <v>122</v>
      </c>
      <c r="O124" s="8" t="s">
        <v>122</v>
      </c>
      <c r="P124" s="8" t="s">
        <v>122</v>
      </c>
      <c r="Q124" s="8" t="s">
        <v>122</v>
      </c>
      <c r="R124" s="8" t="s">
        <v>122</v>
      </c>
      <c r="S124" s="8" t="s">
        <v>122</v>
      </c>
      <c r="T124" s="8" t="s">
        <v>122</v>
      </c>
      <c r="U124" s="8" t="s">
        <v>122</v>
      </c>
      <c r="V124" s="8" t="s">
        <v>122</v>
      </c>
    </row>
    <row r="125" spans="1:22" x14ac:dyDescent="0.25">
      <c r="A125" t="s">
        <v>123</v>
      </c>
      <c r="B125">
        <v>0</v>
      </c>
      <c r="C125">
        <v>0</v>
      </c>
      <c r="D125">
        <f t="shared" ref="D125:D136" si="76">B125+C125</f>
        <v>0</v>
      </c>
      <c r="E125" t="str">
        <f t="shared" ref="E125:E136" si="77">IF(V125&gt;0,ROUND((D125/V125) * 100, 4), "")</f>
        <v/>
      </c>
      <c r="F125">
        <v>0</v>
      </c>
      <c r="G125">
        <v>0</v>
      </c>
      <c r="H125">
        <f t="shared" ref="H125:H136" si="78">F125+G125</f>
        <v>0</v>
      </c>
      <c r="I125" t="str">
        <f t="shared" ref="I125:I136" si="79">IF(V125&gt;0,ROUND((H125/V125) * 100, 4), "")</f>
        <v/>
      </c>
      <c r="J125">
        <v>0</v>
      </c>
      <c r="K125">
        <v>0</v>
      </c>
      <c r="L125">
        <f t="shared" ref="L125:L136" si="80">J125+K125</f>
        <v>0</v>
      </c>
      <c r="M125" t="str">
        <f t="shared" ref="M125:M136" si="81">IF(V125&gt;0,ROUND((L125/V125) * 100, 4), "")</f>
        <v/>
      </c>
      <c r="N125">
        <v>0</v>
      </c>
      <c r="O125">
        <v>0</v>
      </c>
      <c r="P125">
        <f t="shared" ref="P125:P136" si="82">N125+O125</f>
        <v>0</v>
      </c>
      <c r="Q125">
        <v>0</v>
      </c>
      <c r="R125">
        <v>0</v>
      </c>
      <c r="S125">
        <f t="shared" ref="S125:S136" si="83">Q125+R125</f>
        <v>0</v>
      </c>
      <c r="T125">
        <f t="shared" ref="T125:T136" si="84">B125+F125+J125</f>
        <v>0</v>
      </c>
      <c r="U125">
        <f t="shared" ref="U125:U136" si="85">C125+G125+K125</f>
        <v>0</v>
      </c>
      <c r="V125">
        <f t="shared" ref="V125:V136" si="86">T125+U125</f>
        <v>0</v>
      </c>
    </row>
    <row r="126" spans="1:22" x14ac:dyDescent="0.25">
      <c r="A126" t="s">
        <v>124</v>
      </c>
      <c r="B126">
        <v>0</v>
      </c>
      <c r="C126">
        <v>0</v>
      </c>
      <c r="D126">
        <f t="shared" si="76"/>
        <v>0</v>
      </c>
      <c r="E126" t="str">
        <f t="shared" si="77"/>
        <v/>
      </c>
      <c r="F126">
        <v>0</v>
      </c>
      <c r="G126">
        <v>0</v>
      </c>
      <c r="H126">
        <f t="shared" si="78"/>
        <v>0</v>
      </c>
      <c r="I126" t="str">
        <f t="shared" si="79"/>
        <v/>
      </c>
      <c r="J126">
        <v>0</v>
      </c>
      <c r="K126">
        <v>0</v>
      </c>
      <c r="L126">
        <f t="shared" si="80"/>
        <v>0</v>
      </c>
      <c r="M126" t="str">
        <f t="shared" si="81"/>
        <v/>
      </c>
      <c r="N126">
        <v>0</v>
      </c>
      <c r="O126">
        <v>0</v>
      </c>
      <c r="P126">
        <f t="shared" si="82"/>
        <v>0</v>
      </c>
      <c r="Q126">
        <v>0</v>
      </c>
      <c r="R126">
        <v>0</v>
      </c>
      <c r="S126">
        <f t="shared" si="83"/>
        <v>0</v>
      </c>
      <c r="T126">
        <f t="shared" si="84"/>
        <v>0</v>
      </c>
      <c r="U126">
        <f t="shared" si="85"/>
        <v>0</v>
      </c>
      <c r="V126">
        <f t="shared" si="86"/>
        <v>0</v>
      </c>
    </row>
    <row r="127" spans="1:22" x14ac:dyDescent="0.25">
      <c r="A127" t="s">
        <v>125</v>
      </c>
      <c r="B127">
        <v>0</v>
      </c>
      <c r="C127">
        <v>0</v>
      </c>
      <c r="D127">
        <f t="shared" si="76"/>
        <v>0</v>
      </c>
      <c r="E127" t="str">
        <f t="shared" si="77"/>
        <v/>
      </c>
      <c r="F127">
        <v>0</v>
      </c>
      <c r="G127">
        <v>0</v>
      </c>
      <c r="H127">
        <f t="shared" si="78"/>
        <v>0</v>
      </c>
      <c r="I127" t="str">
        <f t="shared" si="79"/>
        <v/>
      </c>
      <c r="J127">
        <v>0</v>
      </c>
      <c r="K127">
        <v>0</v>
      </c>
      <c r="L127">
        <f t="shared" si="80"/>
        <v>0</v>
      </c>
      <c r="M127" t="str">
        <f t="shared" si="81"/>
        <v/>
      </c>
      <c r="N127">
        <v>0</v>
      </c>
      <c r="O127">
        <v>0</v>
      </c>
      <c r="P127">
        <f t="shared" si="82"/>
        <v>0</v>
      </c>
      <c r="Q127">
        <v>0</v>
      </c>
      <c r="R127">
        <v>0</v>
      </c>
      <c r="S127">
        <f t="shared" si="83"/>
        <v>0</v>
      </c>
      <c r="T127">
        <f t="shared" si="84"/>
        <v>0</v>
      </c>
      <c r="U127">
        <f t="shared" si="85"/>
        <v>0</v>
      </c>
      <c r="V127">
        <f t="shared" si="86"/>
        <v>0</v>
      </c>
    </row>
    <row r="128" spans="1:22" x14ac:dyDescent="0.25">
      <c r="A128" t="s">
        <v>126</v>
      </c>
      <c r="B128">
        <v>0</v>
      </c>
      <c r="C128">
        <v>0</v>
      </c>
      <c r="D128">
        <f t="shared" si="76"/>
        <v>0</v>
      </c>
      <c r="E128">
        <f t="shared" si="77"/>
        <v>0</v>
      </c>
      <c r="F128">
        <v>0</v>
      </c>
      <c r="G128">
        <v>0</v>
      </c>
      <c r="H128">
        <f t="shared" si="78"/>
        <v>0</v>
      </c>
      <c r="I128">
        <f t="shared" si="79"/>
        <v>0</v>
      </c>
      <c r="J128">
        <v>0</v>
      </c>
      <c r="K128">
        <v>1</v>
      </c>
      <c r="L128">
        <f t="shared" si="80"/>
        <v>1</v>
      </c>
      <c r="M128">
        <f t="shared" si="81"/>
        <v>100</v>
      </c>
      <c r="N128">
        <v>0</v>
      </c>
      <c r="O128">
        <v>0</v>
      </c>
      <c r="P128">
        <f t="shared" si="82"/>
        <v>0</v>
      </c>
      <c r="Q128">
        <v>0</v>
      </c>
      <c r="R128">
        <v>0</v>
      </c>
      <c r="S128">
        <f t="shared" si="83"/>
        <v>0</v>
      </c>
      <c r="T128">
        <f t="shared" si="84"/>
        <v>0</v>
      </c>
      <c r="U128">
        <f t="shared" si="85"/>
        <v>1</v>
      </c>
      <c r="V128">
        <f t="shared" si="86"/>
        <v>1</v>
      </c>
    </row>
    <row r="129" spans="1:22" x14ac:dyDescent="0.25">
      <c r="A129" t="s">
        <v>127</v>
      </c>
      <c r="B129">
        <v>1</v>
      </c>
      <c r="C129">
        <v>0</v>
      </c>
      <c r="D129">
        <f t="shared" si="76"/>
        <v>1</v>
      </c>
      <c r="E129">
        <f t="shared" si="77"/>
        <v>16.666699999999999</v>
      </c>
      <c r="F129">
        <v>0</v>
      </c>
      <c r="G129">
        <v>1</v>
      </c>
      <c r="H129">
        <f t="shared" si="78"/>
        <v>1</v>
      </c>
      <c r="I129">
        <f t="shared" si="79"/>
        <v>16.666699999999999</v>
      </c>
      <c r="J129">
        <v>1</v>
      </c>
      <c r="K129">
        <v>3</v>
      </c>
      <c r="L129">
        <f t="shared" si="80"/>
        <v>4</v>
      </c>
      <c r="M129">
        <f t="shared" si="81"/>
        <v>66.666700000000006</v>
      </c>
      <c r="N129">
        <v>0</v>
      </c>
      <c r="O129">
        <v>0</v>
      </c>
      <c r="P129">
        <f t="shared" si="82"/>
        <v>0</v>
      </c>
      <c r="Q129">
        <v>1</v>
      </c>
      <c r="R129">
        <v>6</v>
      </c>
      <c r="S129">
        <f t="shared" si="83"/>
        <v>7</v>
      </c>
      <c r="T129">
        <f t="shared" si="84"/>
        <v>2</v>
      </c>
      <c r="U129">
        <f t="shared" si="85"/>
        <v>4</v>
      </c>
      <c r="V129">
        <f t="shared" si="86"/>
        <v>6</v>
      </c>
    </row>
    <row r="130" spans="1:22" x14ac:dyDescent="0.25">
      <c r="A130" t="s">
        <v>128</v>
      </c>
      <c r="B130">
        <v>8</v>
      </c>
      <c r="C130">
        <v>9</v>
      </c>
      <c r="D130">
        <f t="shared" si="76"/>
        <v>17</v>
      </c>
      <c r="E130">
        <f t="shared" si="77"/>
        <v>5.5556000000000001</v>
      </c>
      <c r="F130">
        <v>80</v>
      </c>
      <c r="G130">
        <v>95</v>
      </c>
      <c r="H130">
        <f t="shared" si="78"/>
        <v>175</v>
      </c>
      <c r="I130">
        <f t="shared" si="79"/>
        <v>57.189500000000002</v>
      </c>
      <c r="J130">
        <v>45</v>
      </c>
      <c r="K130">
        <v>69</v>
      </c>
      <c r="L130">
        <f t="shared" si="80"/>
        <v>114</v>
      </c>
      <c r="M130">
        <f t="shared" si="81"/>
        <v>37.254899999999999</v>
      </c>
      <c r="N130">
        <v>42</v>
      </c>
      <c r="O130">
        <v>26</v>
      </c>
      <c r="P130">
        <f t="shared" si="82"/>
        <v>68</v>
      </c>
      <c r="Q130">
        <v>38</v>
      </c>
      <c r="R130">
        <v>37</v>
      </c>
      <c r="S130">
        <f t="shared" si="83"/>
        <v>75</v>
      </c>
      <c r="T130">
        <f t="shared" si="84"/>
        <v>133</v>
      </c>
      <c r="U130">
        <f t="shared" si="85"/>
        <v>173</v>
      </c>
      <c r="V130">
        <f t="shared" si="86"/>
        <v>306</v>
      </c>
    </row>
    <row r="131" spans="1:22" x14ac:dyDescent="0.25">
      <c r="A131" t="s">
        <v>129</v>
      </c>
      <c r="B131">
        <v>0</v>
      </c>
      <c r="C131">
        <v>0</v>
      </c>
      <c r="D131">
        <f t="shared" si="76"/>
        <v>0</v>
      </c>
      <c r="E131">
        <f t="shared" si="77"/>
        <v>0</v>
      </c>
      <c r="F131">
        <v>0</v>
      </c>
      <c r="G131">
        <v>0</v>
      </c>
      <c r="H131">
        <f t="shared" si="78"/>
        <v>0</v>
      </c>
      <c r="I131">
        <f t="shared" si="79"/>
        <v>0</v>
      </c>
      <c r="J131">
        <v>0</v>
      </c>
      <c r="K131">
        <v>2</v>
      </c>
      <c r="L131">
        <f t="shared" si="80"/>
        <v>2</v>
      </c>
      <c r="M131">
        <f t="shared" si="81"/>
        <v>100</v>
      </c>
      <c r="N131">
        <v>0</v>
      </c>
      <c r="O131">
        <v>0</v>
      </c>
      <c r="P131">
        <f t="shared" si="82"/>
        <v>0</v>
      </c>
      <c r="Q131">
        <v>0</v>
      </c>
      <c r="R131">
        <v>0</v>
      </c>
      <c r="S131">
        <f t="shared" si="83"/>
        <v>0</v>
      </c>
      <c r="T131">
        <f t="shared" si="84"/>
        <v>0</v>
      </c>
      <c r="U131">
        <f t="shared" si="85"/>
        <v>2</v>
      </c>
      <c r="V131">
        <f t="shared" si="86"/>
        <v>2</v>
      </c>
    </row>
    <row r="132" spans="1:22" x14ac:dyDescent="0.25">
      <c r="A132" t="s">
        <v>130</v>
      </c>
      <c r="B132">
        <v>2</v>
      </c>
      <c r="C132">
        <v>0</v>
      </c>
      <c r="D132">
        <f t="shared" si="76"/>
        <v>2</v>
      </c>
      <c r="E132">
        <f t="shared" si="77"/>
        <v>13.333299999999999</v>
      </c>
      <c r="F132">
        <v>3</v>
      </c>
      <c r="G132">
        <v>6</v>
      </c>
      <c r="H132">
        <f t="shared" si="78"/>
        <v>9</v>
      </c>
      <c r="I132">
        <f t="shared" si="79"/>
        <v>60</v>
      </c>
      <c r="J132">
        <v>0</v>
      </c>
      <c r="K132">
        <v>4</v>
      </c>
      <c r="L132">
        <f t="shared" si="80"/>
        <v>4</v>
      </c>
      <c r="M132">
        <f t="shared" si="81"/>
        <v>26.666699999999999</v>
      </c>
      <c r="N132">
        <v>0</v>
      </c>
      <c r="O132">
        <v>0</v>
      </c>
      <c r="P132">
        <f t="shared" si="82"/>
        <v>0</v>
      </c>
      <c r="Q132">
        <v>0</v>
      </c>
      <c r="R132">
        <v>0</v>
      </c>
      <c r="S132">
        <f t="shared" si="83"/>
        <v>0</v>
      </c>
      <c r="T132">
        <f t="shared" si="84"/>
        <v>5</v>
      </c>
      <c r="U132">
        <f t="shared" si="85"/>
        <v>10</v>
      </c>
      <c r="V132">
        <f t="shared" si="86"/>
        <v>15</v>
      </c>
    </row>
    <row r="133" spans="1:22" x14ac:dyDescent="0.25">
      <c r="A133" t="s">
        <v>131</v>
      </c>
      <c r="B133">
        <v>0</v>
      </c>
      <c r="C133">
        <v>0</v>
      </c>
      <c r="D133">
        <f t="shared" si="76"/>
        <v>0</v>
      </c>
      <c r="E133" t="str">
        <f t="shared" si="77"/>
        <v/>
      </c>
      <c r="F133">
        <v>0</v>
      </c>
      <c r="G133">
        <v>0</v>
      </c>
      <c r="H133">
        <f t="shared" si="78"/>
        <v>0</v>
      </c>
      <c r="I133" t="str">
        <f t="shared" si="79"/>
        <v/>
      </c>
      <c r="J133">
        <v>0</v>
      </c>
      <c r="K133">
        <v>0</v>
      </c>
      <c r="L133">
        <f t="shared" si="80"/>
        <v>0</v>
      </c>
      <c r="M133" t="str">
        <f t="shared" si="81"/>
        <v/>
      </c>
      <c r="N133">
        <v>0</v>
      </c>
      <c r="O133">
        <v>0</v>
      </c>
      <c r="P133">
        <f t="shared" si="82"/>
        <v>0</v>
      </c>
      <c r="Q133">
        <v>0</v>
      </c>
      <c r="R133">
        <v>0</v>
      </c>
      <c r="S133">
        <f t="shared" si="83"/>
        <v>0</v>
      </c>
      <c r="T133">
        <f t="shared" si="84"/>
        <v>0</v>
      </c>
      <c r="U133">
        <f t="shared" si="85"/>
        <v>0</v>
      </c>
      <c r="V133">
        <f t="shared" si="86"/>
        <v>0</v>
      </c>
    </row>
    <row r="134" spans="1:22" x14ac:dyDescent="0.25">
      <c r="A134" t="s">
        <v>132</v>
      </c>
      <c r="B134">
        <v>0</v>
      </c>
      <c r="C134">
        <v>0</v>
      </c>
      <c r="D134">
        <f t="shared" si="76"/>
        <v>0</v>
      </c>
      <c r="E134">
        <f t="shared" si="77"/>
        <v>0</v>
      </c>
      <c r="F134">
        <v>0</v>
      </c>
      <c r="G134">
        <v>1</v>
      </c>
      <c r="H134">
        <f t="shared" si="78"/>
        <v>1</v>
      </c>
      <c r="I134">
        <f t="shared" si="79"/>
        <v>100</v>
      </c>
      <c r="J134">
        <v>0</v>
      </c>
      <c r="K134">
        <v>0</v>
      </c>
      <c r="L134">
        <f t="shared" si="80"/>
        <v>0</v>
      </c>
      <c r="M134">
        <f t="shared" si="81"/>
        <v>0</v>
      </c>
      <c r="N134">
        <v>0</v>
      </c>
      <c r="O134">
        <v>0</v>
      </c>
      <c r="P134">
        <f t="shared" si="82"/>
        <v>0</v>
      </c>
      <c r="Q134">
        <v>0</v>
      </c>
      <c r="R134">
        <v>0</v>
      </c>
      <c r="S134">
        <f t="shared" si="83"/>
        <v>0</v>
      </c>
      <c r="T134">
        <f t="shared" si="84"/>
        <v>0</v>
      </c>
      <c r="U134">
        <f t="shared" si="85"/>
        <v>1</v>
      </c>
      <c r="V134">
        <f t="shared" si="86"/>
        <v>1</v>
      </c>
    </row>
    <row r="135" spans="1:22" x14ac:dyDescent="0.25">
      <c r="A135" t="s">
        <v>133</v>
      </c>
      <c r="B135">
        <v>0</v>
      </c>
      <c r="C135">
        <v>0</v>
      </c>
      <c r="D135">
        <f t="shared" si="76"/>
        <v>0</v>
      </c>
      <c r="E135">
        <f t="shared" si="77"/>
        <v>0</v>
      </c>
      <c r="F135">
        <v>1</v>
      </c>
      <c r="G135">
        <v>0</v>
      </c>
      <c r="H135">
        <f t="shared" si="78"/>
        <v>1</v>
      </c>
      <c r="I135">
        <f t="shared" si="79"/>
        <v>100</v>
      </c>
      <c r="J135">
        <v>0</v>
      </c>
      <c r="K135">
        <v>0</v>
      </c>
      <c r="L135">
        <f t="shared" si="80"/>
        <v>0</v>
      </c>
      <c r="M135">
        <f t="shared" si="81"/>
        <v>0</v>
      </c>
      <c r="N135">
        <v>0</v>
      </c>
      <c r="O135">
        <v>0</v>
      </c>
      <c r="P135">
        <f t="shared" si="82"/>
        <v>0</v>
      </c>
      <c r="Q135">
        <v>0</v>
      </c>
      <c r="R135">
        <v>0</v>
      </c>
      <c r="S135">
        <f t="shared" si="83"/>
        <v>0</v>
      </c>
      <c r="T135">
        <f t="shared" si="84"/>
        <v>1</v>
      </c>
      <c r="U135">
        <f t="shared" si="85"/>
        <v>0</v>
      </c>
      <c r="V135">
        <f t="shared" si="86"/>
        <v>1</v>
      </c>
    </row>
    <row r="136" spans="1:22" x14ac:dyDescent="0.25">
      <c r="A136" t="s">
        <v>134</v>
      </c>
      <c r="B136">
        <v>0</v>
      </c>
      <c r="C136">
        <v>0</v>
      </c>
      <c r="D136">
        <f t="shared" si="76"/>
        <v>0</v>
      </c>
      <c r="E136">
        <f t="shared" si="77"/>
        <v>0</v>
      </c>
      <c r="F136">
        <v>0</v>
      </c>
      <c r="G136">
        <v>1</v>
      </c>
      <c r="H136">
        <f t="shared" si="78"/>
        <v>1</v>
      </c>
      <c r="I136">
        <f t="shared" si="79"/>
        <v>33.333300000000001</v>
      </c>
      <c r="J136">
        <v>0</v>
      </c>
      <c r="K136">
        <v>2</v>
      </c>
      <c r="L136">
        <f t="shared" si="80"/>
        <v>2</v>
      </c>
      <c r="M136">
        <f t="shared" si="81"/>
        <v>66.666700000000006</v>
      </c>
      <c r="N136">
        <v>0</v>
      </c>
      <c r="O136">
        <v>0</v>
      </c>
      <c r="P136">
        <f t="shared" si="82"/>
        <v>0</v>
      </c>
      <c r="Q136">
        <v>0</v>
      </c>
      <c r="R136">
        <v>0</v>
      </c>
      <c r="S136">
        <f t="shared" si="83"/>
        <v>0</v>
      </c>
      <c r="T136">
        <f t="shared" si="84"/>
        <v>0</v>
      </c>
      <c r="U136">
        <f t="shared" si="85"/>
        <v>3</v>
      </c>
      <c r="V136">
        <f t="shared" si="86"/>
        <v>3</v>
      </c>
    </row>
    <row r="138" spans="1:22" x14ac:dyDescent="0.25">
      <c r="A138" s="8" t="s">
        <v>135</v>
      </c>
      <c r="B138" s="8" t="s">
        <v>135</v>
      </c>
      <c r="C138" s="8" t="s">
        <v>135</v>
      </c>
      <c r="D138" s="8" t="s">
        <v>135</v>
      </c>
      <c r="E138" s="8" t="s">
        <v>135</v>
      </c>
      <c r="F138" s="8" t="s">
        <v>135</v>
      </c>
      <c r="G138" s="8" t="s">
        <v>135</v>
      </c>
      <c r="H138" s="8" t="s">
        <v>135</v>
      </c>
      <c r="I138" s="8" t="s">
        <v>135</v>
      </c>
      <c r="J138" s="8" t="s">
        <v>135</v>
      </c>
      <c r="K138" s="8" t="s">
        <v>135</v>
      </c>
      <c r="L138" s="8" t="s">
        <v>135</v>
      </c>
      <c r="M138" s="8" t="s">
        <v>135</v>
      </c>
      <c r="N138" s="8" t="s">
        <v>135</v>
      </c>
      <c r="O138" s="8" t="s">
        <v>135</v>
      </c>
      <c r="P138" s="8" t="s">
        <v>135</v>
      </c>
      <c r="Q138" s="8" t="s">
        <v>135</v>
      </c>
      <c r="R138" s="8" t="s">
        <v>135</v>
      </c>
      <c r="S138" s="8" t="s">
        <v>135</v>
      </c>
      <c r="T138" s="8" t="s">
        <v>135</v>
      </c>
      <c r="U138" s="8" t="s">
        <v>135</v>
      </c>
      <c r="V138" s="8" t="s">
        <v>135</v>
      </c>
    </row>
    <row r="139" spans="1:22" x14ac:dyDescent="0.25">
      <c r="A139" t="s">
        <v>136</v>
      </c>
      <c r="B139">
        <v>0</v>
      </c>
      <c r="C139">
        <v>0</v>
      </c>
      <c r="D139">
        <f t="shared" ref="D139:D175" si="87">B139+C139</f>
        <v>0</v>
      </c>
      <c r="E139" t="str">
        <f t="shared" ref="E139:E175" si="88">IF(V139&gt;0,ROUND((D139/V139) * 100, 4), "")</f>
        <v/>
      </c>
      <c r="F139">
        <v>0</v>
      </c>
      <c r="G139">
        <v>0</v>
      </c>
      <c r="H139">
        <f t="shared" ref="H139:H175" si="89">F139+G139</f>
        <v>0</v>
      </c>
      <c r="I139" t="str">
        <f t="shared" ref="I139:I175" si="90">IF(V139&gt;0,ROUND((H139/V139) * 100, 4), "")</f>
        <v/>
      </c>
      <c r="J139">
        <v>0</v>
      </c>
      <c r="K139">
        <v>0</v>
      </c>
      <c r="L139">
        <f t="shared" ref="L139:L175" si="91">J139+K139</f>
        <v>0</v>
      </c>
      <c r="M139" t="str">
        <f t="shared" ref="M139:M175" si="92">IF(V139&gt;0,ROUND((L139/V139) * 100, 4), "")</f>
        <v/>
      </c>
      <c r="N139">
        <v>0</v>
      </c>
      <c r="O139">
        <v>0</v>
      </c>
      <c r="P139">
        <f t="shared" ref="P139:P175" si="93">N139+O139</f>
        <v>0</v>
      </c>
      <c r="Q139">
        <v>0</v>
      </c>
      <c r="R139">
        <v>0</v>
      </c>
      <c r="S139">
        <f t="shared" ref="S139:S175" si="94">Q139+R139</f>
        <v>0</v>
      </c>
      <c r="T139">
        <f t="shared" ref="T139:T175" si="95">B139+F139+J139</f>
        <v>0</v>
      </c>
      <c r="U139">
        <f t="shared" ref="U139:U175" si="96">C139+G139+K139</f>
        <v>0</v>
      </c>
      <c r="V139">
        <f t="shared" ref="V139:V175" si="97">T139+U139</f>
        <v>0</v>
      </c>
    </row>
    <row r="140" spans="1:22" x14ac:dyDescent="0.25">
      <c r="A140" t="s">
        <v>137</v>
      </c>
      <c r="B140">
        <v>0</v>
      </c>
      <c r="C140">
        <v>0</v>
      </c>
      <c r="D140">
        <f t="shared" si="87"/>
        <v>0</v>
      </c>
      <c r="E140" t="str">
        <f t="shared" si="88"/>
        <v/>
      </c>
      <c r="F140">
        <v>0</v>
      </c>
      <c r="G140">
        <v>0</v>
      </c>
      <c r="H140">
        <f t="shared" si="89"/>
        <v>0</v>
      </c>
      <c r="I140" t="str">
        <f t="shared" si="90"/>
        <v/>
      </c>
      <c r="J140">
        <v>0</v>
      </c>
      <c r="K140">
        <v>0</v>
      </c>
      <c r="L140">
        <f t="shared" si="91"/>
        <v>0</v>
      </c>
      <c r="M140" t="str">
        <f t="shared" si="92"/>
        <v/>
      </c>
      <c r="N140">
        <v>0</v>
      </c>
      <c r="O140">
        <v>0</v>
      </c>
      <c r="P140">
        <f t="shared" si="93"/>
        <v>0</v>
      </c>
      <c r="Q140">
        <v>0</v>
      </c>
      <c r="R140">
        <v>0</v>
      </c>
      <c r="S140">
        <f t="shared" si="94"/>
        <v>0</v>
      </c>
      <c r="T140">
        <f t="shared" si="95"/>
        <v>0</v>
      </c>
      <c r="U140">
        <f t="shared" si="96"/>
        <v>0</v>
      </c>
      <c r="V140">
        <f t="shared" si="97"/>
        <v>0</v>
      </c>
    </row>
    <row r="141" spans="1:22" x14ac:dyDescent="0.25">
      <c r="A141" t="s">
        <v>138</v>
      </c>
      <c r="B141">
        <v>0</v>
      </c>
      <c r="C141">
        <v>0</v>
      </c>
      <c r="D141">
        <f t="shared" si="87"/>
        <v>0</v>
      </c>
      <c r="E141" t="str">
        <f t="shared" si="88"/>
        <v/>
      </c>
      <c r="F141">
        <v>0</v>
      </c>
      <c r="G141">
        <v>0</v>
      </c>
      <c r="H141">
        <f t="shared" si="89"/>
        <v>0</v>
      </c>
      <c r="I141" t="str">
        <f t="shared" si="90"/>
        <v/>
      </c>
      <c r="J141">
        <v>0</v>
      </c>
      <c r="K141">
        <v>0</v>
      </c>
      <c r="L141">
        <f t="shared" si="91"/>
        <v>0</v>
      </c>
      <c r="M141" t="str">
        <f t="shared" si="92"/>
        <v/>
      </c>
      <c r="N141">
        <v>0</v>
      </c>
      <c r="O141">
        <v>0</v>
      </c>
      <c r="P141">
        <f t="shared" si="93"/>
        <v>0</v>
      </c>
      <c r="Q141">
        <v>0</v>
      </c>
      <c r="R141">
        <v>0</v>
      </c>
      <c r="S141">
        <f t="shared" si="94"/>
        <v>0</v>
      </c>
      <c r="T141">
        <f t="shared" si="95"/>
        <v>0</v>
      </c>
      <c r="U141">
        <f t="shared" si="96"/>
        <v>0</v>
      </c>
      <c r="V141">
        <f t="shared" si="97"/>
        <v>0</v>
      </c>
    </row>
    <row r="142" spans="1:22" x14ac:dyDescent="0.25">
      <c r="A142" t="s">
        <v>139</v>
      </c>
      <c r="B142">
        <v>0</v>
      </c>
      <c r="C142">
        <v>0</v>
      </c>
      <c r="D142">
        <f t="shared" si="87"/>
        <v>0</v>
      </c>
      <c r="E142" t="str">
        <f t="shared" si="88"/>
        <v/>
      </c>
      <c r="F142">
        <v>0</v>
      </c>
      <c r="G142">
        <v>0</v>
      </c>
      <c r="H142">
        <f t="shared" si="89"/>
        <v>0</v>
      </c>
      <c r="I142" t="str">
        <f t="shared" si="90"/>
        <v/>
      </c>
      <c r="J142">
        <v>0</v>
      </c>
      <c r="K142">
        <v>0</v>
      </c>
      <c r="L142">
        <f t="shared" si="91"/>
        <v>0</v>
      </c>
      <c r="M142" t="str">
        <f t="shared" si="92"/>
        <v/>
      </c>
      <c r="N142">
        <v>0</v>
      </c>
      <c r="O142">
        <v>0</v>
      </c>
      <c r="P142">
        <f t="shared" si="93"/>
        <v>0</v>
      </c>
      <c r="Q142">
        <v>0</v>
      </c>
      <c r="R142">
        <v>0</v>
      </c>
      <c r="S142">
        <f t="shared" si="94"/>
        <v>0</v>
      </c>
      <c r="T142">
        <f t="shared" si="95"/>
        <v>0</v>
      </c>
      <c r="U142">
        <f t="shared" si="96"/>
        <v>0</v>
      </c>
      <c r="V142">
        <f t="shared" si="97"/>
        <v>0</v>
      </c>
    </row>
    <row r="143" spans="1:22" x14ac:dyDescent="0.25">
      <c r="A143" t="s">
        <v>140</v>
      </c>
      <c r="B143">
        <v>0</v>
      </c>
      <c r="C143">
        <v>0</v>
      </c>
      <c r="D143">
        <f t="shared" si="87"/>
        <v>0</v>
      </c>
      <c r="E143" t="str">
        <f t="shared" si="88"/>
        <v/>
      </c>
      <c r="F143">
        <v>0</v>
      </c>
      <c r="G143">
        <v>0</v>
      </c>
      <c r="H143">
        <f t="shared" si="89"/>
        <v>0</v>
      </c>
      <c r="I143" t="str">
        <f t="shared" si="90"/>
        <v/>
      </c>
      <c r="J143">
        <v>0</v>
      </c>
      <c r="K143">
        <v>0</v>
      </c>
      <c r="L143">
        <f t="shared" si="91"/>
        <v>0</v>
      </c>
      <c r="M143" t="str">
        <f t="shared" si="92"/>
        <v/>
      </c>
      <c r="N143">
        <v>0</v>
      </c>
      <c r="O143">
        <v>0</v>
      </c>
      <c r="P143">
        <f t="shared" si="93"/>
        <v>0</v>
      </c>
      <c r="Q143">
        <v>0</v>
      </c>
      <c r="R143">
        <v>0</v>
      </c>
      <c r="S143">
        <f t="shared" si="94"/>
        <v>0</v>
      </c>
      <c r="T143">
        <f t="shared" si="95"/>
        <v>0</v>
      </c>
      <c r="U143">
        <f t="shared" si="96"/>
        <v>0</v>
      </c>
      <c r="V143">
        <f t="shared" si="97"/>
        <v>0</v>
      </c>
    </row>
    <row r="144" spans="1:22" x14ac:dyDescent="0.25">
      <c r="A144" t="s">
        <v>141</v>
      </c>
      <c r="B144">
        <v>0</v>
      </c>
      <c r="C144">
        <v>0</v>
      </c>
      <c r="D144">
        <f t="shared" si="87"/>
        <v>0</v>
      </c>
      <c r="E144" t="str">
        <f t="shared" si="88"/>
        <v/>
      </c>
      <c r="F144">
        <v>0</v>
      </c>
      <c r="G144">
        <v>0</v>
      </c>
      <c r="H144">
        <f t="shared" si="89"/>
        <v>0</v>
      </c>
      <c r="I144" t="str">
        <f t="shared" si="90"/>
        <v/>
      </c>
      <c r="J144">
        <v>0</v>
      </c>
      <c r="K144">
        <v>0</v>
      </c>
      <c r="L144">
        <f t="shared" si="91"/>
        <v>0</v>
      </c>
      <c r="M144" t="str">
        <f t="shared" si="92"/>
        <v/>
      </c>
      <c r="N144">
        <v>0</v>
      </c>
      <c r="O144">
        <v>0</v>
      </c>
      <c r="P144">
        <f t="shared" si="93"/>
        <v>0</v>
      </c>
      <c r="Q144">
        <v>0</v>
      </c>
      <c r="R144">
        <v>0</v>
      </c>
      <c r="S144">
        <f t="shared" si="94"/>
        <v>0</v>
      </c>
      <c r="T144">
        <f t="shared" si="95"/>
        <v>0</v>
      </c>
      <c r="U144">
        <f t="shared" si="96"/>
        <v>0</v>
      </c>
      <c r="V144">
        <f t="shared" si="97"/>
        <v>0</v>
      </c>
    </row>
    <row r="145" spans="1:22" x14ac:dyDescent="0.25">
      <c r="A145" t="s">
        <v>142</v>
      </c>
      <c r="B145">
        <v>0</v>
      </c>
      <c r="C145">
        <v>0</v>
      </c>
      <c r="D145">
        <f t="shared" si="87"/>
        <v>0</v>
      </c>
      <c r="E145" t="str">
        <f t="shared" si="88"/>
        <v/>
      </c>
      <c r="F145">
        <v>0</v>
      </c>
      <c r="G145">
        <v>0</v>
      </c>
      <c r="H145">
        <f t="shared" si="89"/>
        <v>0</v>
      </c>
      <c r="I145" t="str">
        <f t="shared" si="90"/>
        <v/>
      </c>
      <c r="J145">
        <v>0</v>
      </c>
      <c r="K145">
        <v>0</v>
      </c>
      <c r="L145">
        <f t="shared" si="91"/>
        <v>0</v>
      </c>
      <c r="M145" t="str">
        <f t="shared" si="92"/>
        <v/>
      </c>
      <c r="N145">
        <v>0</v>
      </c>
      <c r="O145">
        <v>0</v>
      </c>
      <c r="P145">
        <f t="shared" si="93"/>
        <v>0</v>
      </c>
      <c r="Q145">
        <v>0</v>
      </c>
      <c r="R145">
        <v>0</v>
      </c>
      <c r="S145">
        <f t="shared" si="94"/>
        <v>0</v>
      </c>
      <c r="T145">
        <f t="shared" si="95"/>
        <v>0</v>
      </c>
      <c r="U145">
        <f t="shared" si="96"/>
        <v>0</v>
      </c>
      <c r="V145">
        <f t="shared" si="97"/>
        <v>0</v>
      </c>
    </row>
    <row r="146" spans="1:22" x14ac:dyDescent="0.25">
      <c r="A146" t="s">
        <v>143</v>
      </c>
      <c r="B146">
        <v>9</v>
      </c>
      <c r="C146">
        <v>0</v>
      </c>
      <c r="D146">
        <f t="shared" si="87"/>
        <v>9</v>
      </c>
      <c r="E146">
        <f t="shared" si="88"/>
        <v>13.4328</v>
      </c>
      <c r="F146">
        <v>33</v>
      </c>
      <c r="G146">
        <v>5</v>
      </c>
      <c r="H146">
        <f t="shared" si="89"/>
        <v>38</v>
      </c>
      <c r="I146">
        <f t="shared" si="90"/>
        <v>56.7164</v>
      </c>
      <c r="J146">
        <v>15</v>
      </c>
      <c r="K146">
        <v>5</v>
      </c>
      <c r="L146">
        <f t="shared" si="91"/>
        <v>20</v>
      </c>
      <c r="M146">
        <f t="shared" si="92"/>
        <v>29.8507</v>
      </c>
      <c r="N146">
        <v>5</v>
      </c>
      <c r="O146">
        <v>1</v>
      </c>
      <c r="P146">
        <f t="shared" si="93"/>
        <v>6</v>
      </c>
      <c r="Q146">
        <v>7</v>
      </c>
      <c r="R146">
        <v>2</v>
      </c>
      <c r="S146">
        <f t="shared" si="94"/>
        <v>9</v>
      </c>
      <c r="T146">
        <f t="shared" si="95"/>
        <v>57</v>
      </c>
      <c r="U146">
        <f t="shared" si="96"/>
        <v>10</v>
      </c>
      <c r="V146">
        <f t="shared" si="97"/>
        <v>67</v>
      </c>
    </row>
    <row r="147" spans="1:22" x14ac:dyDescent="0.25">
      <c r="A147" t="s">
        <v>144</v>
      </c>
      <c r="B147">
        <v>0</v>
      </c>
      <c r="C147">
        <v>0</v>
      </c>
      <c r="D147">
        <f t="shared" si="87"/>
        <v>0</v>
      </c>
      <c r="E147">
        <f t="shared" si="88"/>
        <v>0</v>
      </c>
      <c r="F147">
        <v>0</v>
      </c>
      <c r="G147">
        <v>1</v>
      </c>
      <c r="H147">
        <f t="shared" si="89"/>
        <v>1</v>
      </c>
      <c r="I147">
        <f t="shared" si="90"/>
        <v>100</v>
      </c>
      <c r="J147">
        <v>0</v>
      </c>
      <c r="K147">
        <v>0</v>
      </c>
      <c r="L147">
        <f t="shared" si="91"/>
        <v>0</v>
      </c>
      <c r="M147">
        <f t="shared" si="92"/>
        <v>0</v>
      </c>
      <c r="N147">
        <v>0</v>
      </c>
      <c r="O147">
        <v>0</v>
      </c>
      <c r="P147">
        <f t="shared" si="93"/>
        <v>0</v>
      </c>
      <c r="Q147">
        <v>0</v>
      </c>
      <c r="R147">
        <v>0</v>
      </c>
      <c r="S147">
        <f t="shared" si="94"/>
        <v>0</v>
      </c>
      <c r="T147">
        <f t="shared" si="95"/>
        <v>0</v>
      </c>
      <c r="U147">
        <f t="shared" si="96"/>
        <v>1</v>
      </c>
      <c r="V147">
        <f t="shared" si="97"/>
        <v>1</v>
      </c>
    </row>
    <row r="148" spans="1:22" x14ac:dyDescent="0.25">
      <c r="A148" t="s">
        <v>145</v>
      </c>
      <c r="B148">
        <v>0</v>
      </c>
      <c r="C148">
        <v>0</v>
      </c>
      <c r="D148">
        <f t="shared" si="87"/>
        <v>0</v>
      </c>
      <c r="E148" t="str">
        <f t="shared" si="88"/>
        <v/>
      </c>
      <c r="F148">
        <v>0</v>
      </c>
      <c r="G148">
        <v>0</v>
      </c>
      <c r="H148">
        <f t="shared" si="89"/>
        <v>0</v>
      </c>
      <c r="I148" t="str">
        <f t="shared" si="90"/>
        <v/>
      </c>
      <c r="J148">
        <v>0</v>
      </c>
      <c r="K148">
        <v>0</v>
      </c>
      <c r="L148">
        <f t="shared" si="91"/>
        <v>0</v>
      </c>
      <c r="M148" t="str">
        <f t="shared" si="92"/>
        <v/>
      </c>
      <c r="N148">
        <v>0</v>
      </c>
      <c r="O148">
        <v>0</v>
      </c>
      <c r="P148">
        <f t="shared" si="93"/>
        <v>0</v>
      </c>
      <c r="Q148">
        <v>0</v>
      </c>
      <c r="R148">
        <v>0</v>
      </c>
      <c r="S148">
        <f t="shared" si="94"/>
        <v>0</v>
      </c>
      <c r="T148">
        <f t="shared" si="95"/>
        <v>0</v>
      </c>
      <c r="U148">
        <f t="shared" si="96"/>
        <v>0</v>
      </c>
      <c r="V148">
        <f t="shared" si="97"/>
        <v>0</v>
      </c>
    </row>
    <row r="149" spans="1:22" x14ac:dyDescent="0.25">
      <c r="A149" t="s">
        <v>146</v>
      </c>
      <c r="B149">
        <v>0</v>
      </c>
      <c r="C149">
        <v>0</v>
      </c>
      <c r="D149">
        <f t="shared" si="87"/>
        <v>0</v>
      </c>
      <c r="E149" t="str">
        <f t="shared" si="88"/>
        <v/>
      </c>
      <c r="F149">
        <v>0</v>
      </c>
      <c r="G149">
        <v>0</v>
      </c>
      <c r="H149">
        <f t="shared" si="89"/>
        <v>0</v>
      </c>
      <c r="I149" t="str">
        <f t="shared" si="90"/>
        <v/>
      </c>
      <c r="J149">
        <v>0</v>
      </c>
      <c r="K149">
        <v>0</v>
      </c>
      <c r="L149">
        <f t="shared" si="91"/>
        <v>0</v>
      </c>
      <c r="M149" t="str">
        <f t="shared" si="92"/>
        <v/>
      </c>
      <c r="N149">
        <v>4</v>
      </c>
      <c r="O149">
        <v>0</v>
      </c>
      <c r="P149">
        <f t="shared" si="93"/>
        <v>4</v>
      </c>
      <c r="Q149">
        <v>0</v>
      </c>
      <c r="R149">
        <v>0</v>
      </c>
      <c r="S149">
        <f t="shared" si="94"/>
        <v>0</v>
      </c>
      <c r="T149">
        <f t="shared" si="95"/>
        <v>0</v>
      </c>
      <c r="U149">
        <f t="shared" si="96"/>
        <v>0</v>
      </c>
      <c r="V149">
        <f t="shared" si="97"/>
        <v>0</v>
      </c>
    </row>
    <row r="150" spans="1:22" x14ac:dyDescent="0.25">
      <c r="A150" t="s">
        <v>147</v>
      </c>
      <c r="B150">
        <v>0</v>
      </c>
      <c r="C150">
        <v>0</v>
      </c>
      <c r="D150">
        <f t="shared" si="87"/>
        <v>0</v>
      </c>
      <c r="E150" t="str">
        <f t="shared" si="88"/>
        <v/>
      </c>
      <c r="F150">
        <v>0</v>
      </c>
      <c r="G150">
        <v>0</v>
      </c>
      <c r="H150">
        <f t="shared" si="89"/>
        <v>0</v>
      </c>
      <c r="I150" t="str">
        <f t="shared" si="90"/>
        <v/>
      </c>
      <c r="J150">
        <v>0</v>
      </c>
      <c r="K150">
        <v>0</v>
      </c>
      <c r="L150">
        <f t="shared" si="91"/>
        <v>0</v>
      </c>
      <c r="M150" t="str">
        <f t="shared" si="92"/>
        <v/>
      </c>
      <c r="N150">
        <v>0</v>
      </c>
      <c r="O150">
        <v>0</v>
      </c>
      <c r="P150">
        <f t="shared" si="93"/>
        <v>0</v>
      </c>
      <c r="Q150">
        <v>0</v>
      </c>
      <c r="R150">
        <v>0</v>
      </c>
      <c r="S150">
        <f t="shared" si="94"/>
        <v>0</v>
      </c>
      <c r="T150">
        <f t="shared" si="95"/>
        <v>0</v>
      </c>
      <c r="U150">
        <f t="shared" si="96"/>
        <v>0</v>
      </c>
      <c r="V150">
        <f t="shared" si="97"/>
        <v>0</v>
      </c>
    </row>
    <row r="151" spans="1:22" x14ac:dyDescent="0.25">
      <c r="A151" t="s">
        <v>148</v>
      </c>
      <c r="B151">
        <v>0</v>
      </c>
      <c r="C151">
        <v>0</v>
      </c>
      <c r="D151">
        <f t="shared" si="87"/>
        <v>0</v>
      </c>
      <c r="E151" t="str">
        <f t="shared" si="88"/>
        <v/>
      </c>
      <c r="F151">
        <v>0</v>
      </c>
      <c r="G151">
        <v>0</v>
      </c>
      <c r="H151">
        <f t="shared" si="89"/>
        <v>0</v>
      </c>
      <c r="I151" t="str">
        <f t="shared" si="90"/>
        <v/>
      </c>
      <c r="J151">
        <v>0</v>
      </c>
      <c r="K151">
        <v>0</v>
      </c>
      <c r="L151">
        <f t="shared" si="91"/>
        <v>0</v>
      </c>
      <c r="M151" t="str">
        <f t="shared" si="92"/>
        <v/>
      </c>
      <c r="N151">
        <v>0</v>
      </c>
      <c r="O151">
        <v>0</v>
      </c>
      <c r="P151">
        <f t="shared" si="93"/>
        <v>0</v>
      </c>
      <c r="Q151">
        <v>0</v>
      </c>
      <c r="R151">
        <v>0</v>
      </c>
      <c r="S151">
        <f t="shared" si="94"/>
        <v>0</v>
      </c>
      <c r="T151">
        <f t="shared" si="95"/>
        <v>0</v>
      </c>
      <c r="U151">
        <f t="shared" si="96"/>
        <v>0</v>
      </c>
      <c r="V151">
        <f t="shared" si="97"/>
        <v>0</v>
      </c>
    </row>
    <row r="152" spans="1:22" x14ac:dyDescent="0.25">
      <c r="A152" t="s">
        <v>149</v>
      </c>
      <c r="B152">
        <v>0</v>
      </c>
      <c r="C152">
        <v>0</v>
      </c>
      <c r="D152">
        <f t="shared" si="87"/>
        <v>0</v>
      </c>
      <c r="E152" t="str">
        <f t="shared" si="88"/>
        <v/>
      </c>
      <c r="F152">
        <v>0</v>
      </c>
      <c r="G152">
        <v>0</v>
      </c>
      <c r="H152">
        <f t="shared" si="89"/>
        <v>0</v>
      </c>
      <c r="I152" t="str">
        <f t="shared" si="90"/>
        <v/>
      </c>
      <c r="J152">
        <v>0</v>
      </c>
      <c r="K152">
        <v>0</v>
      </c>
      <c r="L152">
        <f t="shared" si="91"/>
        <v>0</v>
      </c>
      <c r="M152" t="str">
        <f t="shared" si="92"/>
        <v/>
      </c>
      <c r="N152">
        <v>0</v>
      </c>
      <c r="O152">
        <v>0</v>
      </c>
      <c r="P152">
        <f t="shared" si="93"/>
        <v>0</v>
      </c>
      <c r="Q152">
        <v>0</v>
      </c>
      <c r="R152">
        <v>0</v>
      </c>
      <c r="S152">
        <f t="shared" si="94"/>
        <v>0</v>
      </c>
      <c r="T152">
        <f t="shared" si="95"/>
        <v>0</v>
      </c>
      <c r="U152">
        <f t="shared" si="96"/>
        <v>0</v>
      </c>
      <c r="V152">
        <f t="shared" si="97"/>
        <v>0</v>
      </c>
    </row>
    <row r="153" spans="1:22" x14ac:dyDescent="0.25">
      <c r="A153" t="s">
        <v>150</v>
      </c>
      <c r="B153">
        <v>0</v>
      </c>
      <c r="C153">
        <v>0</v>
      </c>
      <c r="D153">
        <f t="shared" si="87"/>
        <v>0</v>
      </c>
      <c r="E153" t="str">
        <f t="shared" si="88"/>
        <v/>
      </c>
      <c r="F153">
        <v>0</v>
      </c>
      <c r="G153">
        <v>0</v>
      </c>
      <c r="H153">
        <f t="shared" si="89"/>
        <v>0</v>
      </c>
      <c r="I153" t="str">
        <f t="shared" si="90"/>
        <v/>
      </c>
      <c r="J153">
        <v>0</v>
      </c>
      <c r="K153">
        <v>0</v>
      </c>
      <c r="L153">
        <f t="shared" si="91"/>
        <v>0</v>
      </c>
      <c r="M153" t="str">
        <f t="shared" si="92"/>
        <v/>
      </c>
      <c r="N153">
        <v>0</v>
      </c>
      <c r="O153">
        <v>0</v>
      </c>
      <c r="P153">
        <f t="shared" si="93"/>
        <v>0</v>
      </c>
      <c r="Q153">
        <v>0</v>
      </c>
      <c r="R153">
        <v>0</v>
      </c>
      <c r="S153">
        <f t="shared" si="94"/>
        <v>0</v>
      </c>
      <c r="T153">
        <f t="shared" si="95"/>
        <v>0</v>
      </c>
      <c r="U153">
        <f t="shared" si="96"/>
        <v>0</v>
      </c>
      <c r="V153">
        <f t="shared" si="97"/>
        <v>0</v>
      </c>
    </row>
    <row r="154" spans="1:22" x14ac:dyDescent="0.25">
      <c r="A154" t="s">
        <v>151</v>
      </c>
      <c r="B154">
        <v>24</v>
      </c>
      <c r="C154">
        <v>0</v>
      </c>
      <c r="D154">
        <f t="shared" si="87"/>
        <v>24</v>
      </c>
      <c r="E154">
        <f t="shared" si="88"/>
        <v>82.758600000000001</v>
      </c>
      <c r="F154">
        <v>3</v>
      </c>
      <c r="G154">
        <v>1</v>
      </c>
      <c r="H154">
        <f t="shared" si="89"/>
        <v>4</v>
      </c>
      <c r="I154">
        <f t="shared" si="90"/>
        <v>13.793100000000001</v>
      </c>
      <c r="J154">
        <v>1</v>
      </c>
      <c r="K154">
        <v>0</v>
      </c>
      <c r="L154">
        <f t="shared" si="91"/>
        <v>1</v>
      </c>
      <c r="M154">
        <f t="shared" si="92"/>
        <v>3.4483000000000001</v>
      </c>
      <c r="N154">
        <v>4</v>
      </c>
      <c r="O154">
        <v>1</v>
      </c>
      <c r="P154">
        <f t="shared" si="93"/>
        <v>5</v>
      </c>
      <c r="Q154">
        <v>45</v>
      </c>
      <c r="R154">
        <v>0</v>
      </c>
      <c r="S154">
        <f t="shared" si="94"/>
        <v>45</v>
      </c>
      <c r="T154">
        <f t="shared" si="95"/>
        <v>28</v>
      </c>
      <c r="U154">
        <f t="shared" si="96"/>
        <v>1</v>
      </c>
      <c r="V154">
        <f t="shared" si="97"/>
        <v>29</v>
      </c>
    </row>
    <row r="155" spans="1:22" x14ac:dyDescent="0.25">
      <c r="A155" t="s">
        <v>152</v>
      </c>
      <c r="B155">
        <v>0</v>
      </c>
      <c r="C155">
        <v>0</v>
      </c>
      <c r="D155">
        <f t="shared" si="87"/>
        <v>0</v>
      </c>
      <c r="E155">
        <f t="shared" si="88"/>
        <v>0</v>
      </c>
      <c r="F155">
        <v>0</v>
      </c>
      <c r="G155">
        <v>1</v>
      </c>
      <c r="H155">
        <f t="shared" si="89"/>
        <v>1</v>
      </c>
      <c r="I155">
        <f t="shared" si="90"/>
        <v>100</v>
      </c>
      <c r="J155">
        <v>0</v>
      </c>
      <c r="K155">
        <v>0</v>
      </c>
      <c r="L155">
        <f t="shared" si="91"/>
        <v>0</v>
      </c>
      <c r="M155">
        <f t="shared" si="92"/>
        <v>0</v>
      </c>
      <c r="N155">
        <v>0</v>
      </c>
      <c r="O155">
        <v>0</v>
      </c>
      <c r="P155">
        <f t="shared" si="93"/>
        <v>0</v>
      </c>
      <c r="Q155">
        <v>0</v>
      </c>
      <c r="R155">
        <v>0</v>
      </c>
      <c r="S155">
        <f t="shared" si="94"/>
        <v>0</v>
      </c>
      <c r="T155">
        <f t="shared" si="95"/>
        <v>0</v>
      </c>
      <c r="U155">
        <f t="shared" si="96"/>
        <v>1</v>
      </c>
      <c r="V155">
        <f t="shared" si="97"/>
        <v>1</v>
      </c>
    </row>
    <row r="156" spans="1:22" x14ac:dyDescent="0.25">
      <c r="A156" t="s">
        <v>153</v>
      </c>
      <c r="B156">
        <v>0</v>
      </c>
      <c r="C156">
        <v>1</v>
      </c>
      <c r="D156">
        <f t="shared" si="87"/>
        <v>1</v>
      </c>
      <c r="E156">
        <f t="shared" si="88"/>
        <v>11.1111</v>
      </c>
      <c r="F156">
        <v>0</v>
      </c>
      <c r="G156">
        <v>4</v>
      </c>
      <c r="H156">
        <f t="shared" si="89"/>
        <v>4</v>
      </c>
      <c r="I156">
        <f t="shared" si="90"/>
        <v>44.444400000000002</v>
      </c>
      <c r="J156">
        <v>0</v>
      </c>
      <c r="K156">
        <v>4</v>
      </c>
      <c r="L156">
        <f t="shared" si="91"/>
        <v>4</v>
      </c>
      <c r="M156">
        <f t="shared" si="92"/>
        <v>44.444400000000002</v>
      </c>
      <c r="N156">
        <v>0</v>
      </c>
      <c r="O156">
        <v>0</v>
      </c>
      <c r="P156">
        <f t="shared" si="93"/>
        <v>0</v>
      </c>
      <c r="Q156">
        <v>0</v>
      </c>
      <c r="R156">
        <v>8</v>
      </c>
      <c r="S156">
        <f t="shared" si="94"/>
        <v>8</v>
      </c>
      <c r="T156">
        <f t="shared" si="95"/>
        <v>0</v>
      </c>
      <c r="U156">
        <f t="shared" si="96"/>
        <v>9</v>
      </c>
      <c r="V156">
        <f t="shared" si="97"/>
        <v>9</v>
      </c>
    </row>
    <row r="157" spans="1:22" x14ac:dyDescent="0.25">
      <c r="A157" t="s">
        <v>154</v>
      </c>
      <c r="B157">
        <v>0</v>
      </c>
      <c r="C157">
        <v>0</v>
      </c>
      <c r="D157">
        <f t="shared" si="87"/>
        <v>0</v>
      </c>
      <c r="E157">
        <f t="shared" si="88"/>
        <v>0</v>
      </c>
      <c r="F157">
        <v>0</v>
      </c>
      <c r="G157">
        <v>1</v>
      </c>
      <c r="H157">
        <f t="shared" si="89"/>
        <v>1</v>
      </c>
      <c r="I157">
        <f t="shared" si="90"/>
        <v>100</v>
      </c>
      <c r="J157">
        <v>0</v>
      </c>
      <c r="K157">
        <v>0</v>
      </c>
      <c r="L157">
        <f t="shared" si="91"/>
        <v>0</v>
      </c>
      <c r="M157">
        <f t="shared" si="92"/>
        <v>0</v>
      </c>
      <c r="N157">
        <v>0</v>
      </c>
      <c r="O157">
        <v>1</v>
      </c>
      <c r="P157">
        <f t="shared" si="93"/>
        <v>1</v>
      </c>
      <c r="Q157">
        <v>0</v>
      </c>
      <c r="R157">
        <v>1</v>
      </c>
      <c r="S157">
        <f t="shared" si="94"/>
        <v>1</v>
      </c>
      <c r="T157">
        <f t="shared" si="95"/>
        <v>0</v>
      </c>
      <c r="U157">
        <f t="shared" si="96"/>
        <v>1</v>
      </c>
      <c r="V157">
        <f t="shared" si="97"/>
        <v>1</v>
      </c>
    </row>
    <row r="158" spans="1:22" x14ac:dyDescent="0.25">
      <c r="A158" t="s">
        <v>155</v>
      </c>
      <c r="B158">
        <v>0</v>
      </c>
      <c r="C158">
        <v>0</v>
      </c>
      <c r="D158">
        <f t="shared" si="87"/>
        <v>0</v>
      </c>
      <c r="E158" t="str">
        <f t="shared" si="88"/>
        <v/>
      </c>
      <c r="F158">
        <v>0</v>
      </c>
      <c r="G158">
        <v>0</v>
      </c>
      <c r="H158">
        <f t="shared" si="89"/>
        <v>0</v>
      </c>
      <c r="I158" t="str">
        <f t="shared" si="90"/>
        <v/>
      </c>
      <c r="J158">
        <v>0</v>
      </c>
      <c r="K158">
        <v>0</v>
      </c>
      <c r="L158">
        <f t="shared" si="91"/>
        <v>0</v>
      </c>
      <c r="M158" t="str">
        <f t="shared" si="92"/>
        <v/>
      </c>
      <c r="N158">
        <v>0</v>
      </c>
      <c r="O158">
        <v>0</v>
      </c>
      <c r="P158">
        <f t="shared" si="93"/>
        <v>0</v>
      </c>
      <c r="Q158">
        <v>0</v>
      </c>
      <c r="R158">
        <v>0</v>
      </c>
      <c r="S158">
        <f t="shared" si="94"/>
        <v>0</v>
      </c>
      <c r="T158">
        <f t="shared" si="95"/>
        <v>0</v>
      </c>
      <c r="U158">
        <f t="shared" si="96"/>
        <v>0</v>
      </c>
      <c r="V158">
        <f t="shared" si="97"/>
        <v>0</v>
      </c>
    </row>
    <row r="159" spans="1:22" x14ac:dyDescent="0.25">
      <c r="A159" t="s">
        <v>156</v>
      </c>
      <c r="B159">
        <v>11</v>
      </c>
      <c r="C159">
        <v>61</v>
      </c>
      <c r="D159">
        <f t="shared" si="87"/>
        <v>72</v>
      </c>
      <c r="E159">
        <f t="shared" si="88"/>
        <v>12.5654</v>
      </c>
      <c r="F159">
        <v>39</v>
      </c>
      <c r="G159">
        <v>233</v>
      </c>
      <c r="H159">
        <f t="shared" si="89"/>
        <v>272</v>
      </c>
      <c r="I159">
        <f t="shared" si="90"/>
        <v>47.469499999999996</v>
      </c>
      <c r="J159">
        <v>95</v>
      </c>
      <c r="K159">
        <v>134</v>
      </c>
      <c r="L159">
        <f t="shared" si="91"/>
        <v>229</v>
      </c>
      <c r="M159">
        <f t="shared" si="92"/>
        <v>39.9651</v>
      </c>
      <c r="N159">
        <v>19</v>
      </c>
      <c r="O159">
        <v>9</v>
      </c>
      <c r="P159">
        <f t="shared" si="93"/>
        <v>28</v>
      </c>
      <c r="Q159">
        <v>44</v>
      </c>
      <c r="R159">
        <v>132</v>
      </c>
      <c r="S159">
        <f t="shared" si="94"/>
        <v>176</v>
      </c>
      <c r="T159">
        <f t="shared" si="95"/>
        <v>145</v>
      </c>
      <c r="U159">
        <f t="shared" si="96"/>
        <v>428</v>
      </c>
      <c r="V159">
        <f t="shared" si="97"/>
        <v>573</v>
      </c>
    </row>
    <row r="160" spans="1:22" x14ac:dyDescent="0.25">
      <c r="A160" t="s">
        <v>157</v>
      </c>
      <c r="B160">
        <v>0</v>
      </c>
      <c r="C160">
        <v>1</v>
      </c>
      <c r="D160">
        <f t="shared" si="87"/>
        <v>1</v>
      </c>
      <c r="E160">
        <f t="shared" si="88"/>
        <v>50</v>
      </c>
      <c r="F160">
        <v>0</v>
      </c>
      <c r="G160">
        <v>1</v>
      </c>
      <c r="H160">
        <f t="shared" si="89"/>
        <v>1</v>
      </c>
      <c r="I160">
        <f t="shared" si="90"/>
        <v>50</v>
      </c>
      <c r="J160">
        <v>0</v>
      </c>
      <c r="K160">
        <v>0</v>
      </c>
      <c r="L160">
        <f t="shared" si="91"/>
        <v>0</v>
      </c>
      <c r="M160">
        <f t="shared" si="92"/>
        <v>0</v>
      </c>
      <c r="N160">
        <v>0</v>
      </c>
      <c r="O160">
        <v>0</v>
      </c>
      <c r="P160">
        <f t="shared" si="93"/>
        <v>0</v>
      </c>
      <c r="Q160">
        <v>0</v>
      </c>
      <c r="R160">
        <v>4</v>
      </c>
      <c r="S160">
        <f t="shared" si="94"/>
        <v>4</v>
      </c>
      <c r="T160">
        <f t="shared" si="95"/>
        <v>0</v>
      </c>
      <c r="U160">
        <f t="shared" si="96"/>
        <v>2</v>
      </c>
      <c r="V160">
        <f t="shared" si="97"/>
        <v>2</v>
      </c>
    </row>
    <row r="161" spans="1:22" x14ac:dyDescent="0.25">
      <c r="A161" t="s">
        <v>158</v>
      </c>
      <c r="B161">
        <v>0</v>
      </c>
      <c r="C161">
        <v>0</v>
      </c>
      <c r="D161">
        <f t="shared" si="87"/>
        <v>0</v>
      </c>
      <c r="E161" t="str">
        <f t="shared" si="88"/>
        <v/>
      </c>
      <c r="F161">
        <v>0</v>
      </c>
      <c r="G161">
        <v>0</v>
      </c>
      <c r="H161">
        <f t="shared" si="89"/>
        <v>0</v>
      </c>
      <c r="I161" t="str">
        <f t="shared" si="90"/>
        <v/>
      </c>
      <c r="J161">
        <v>0</v>
      </c>
      <c r="K161">
        <v>0</v>
      </c>
      <c r="L161">
        <f t="shared" si="91"/>
        <v>0</v>
      </c>
      <c r="M161" t="str">
        <f t="shared" si="92"/>
        <v/>
      </c>
      <c r="N161">
        <v>0</v>
      </c>
      <c r="O161">
        <v>0</v>
      </c>
      <c r="P161">
        <f t="shared" si="93"/>
        <v>0</v>
      </c>
      <c r="Q161">
        <v>0</v>
      </c>
      <c r="R161">
        <v>0</v>
      </c>
      <c r="S161">
        <f t="shared" si="94"/>
        <v>0</v>
      </c>
      <c r="T161">
        <f t="shared" si="95"/>
        <v>0</v>
      </c>
      <c r="U161">
        <f t="shared" si="96"/>
        <v>0</v>
      </c>
      <c r="V161">
        <f t="shared" si="97"/>
        <v>0</v>
      </c>
    </row>
    <row r="162" spans="1:22" x14ac:dyDescent="0.25">
      <c r="A162" t="s">
        <v>159</v>
      </c>
      <c r="B162">
        <v>0</v>
      </c>
      <c r="C162">
        <v>1</v>
      </c>
      <c r="D162">
        <f t="shared" si="87"/>
        <v>1</v>
      </c>
      <c r="E162">
        <f t="shared" si="88"/>
        <v>16.666699999999999</v>
      </c>
      <c r="F162">
        <v>0</v>
      </c>
      <c r="G162">
        <v>4</v>
      </c>
      <c r="H162">
        <f t="shared" si="89"/>
        <v>4</v>
      </c>
      <c r="I162">
        <f t="shared" si="90"/>
        <v>66.666700000000006</v>
      </c>
      <c r="J162">
        <v>0</v>
      </c>
      <c r="K162">
        <v>1</v>
      </c>
      <c r="L162">
        <f t="shared" si="91"/>
        <v>1</v>
      </c>
      <c r="M162">
        <f t="shared" si="92"/>
        <v>16.666699999999999</v>
      </c>
      <c r="N162">
        <v>0</v>
      </c>
      <c r="O162">
        <v>0</v>
      </c>
      <c r="P162">
        <f t="shared" si="93"/>
        <v>0</v>
      </c>
      <c r="Q162">
        <v>0</v>
      </c>
      <c r="R162">
        <v>1</v>
      </c>
      <c r="S162">
        <f t="shared" si="94"/>
        <v>1</v>
      </c>
      <c r="T162">
        <f t="shared" si="95"/>
        <v>0</v>
      </c>
      <c r="U162">
        <f t="shared" si="96"/>
        <v>6</v>
      </c>
      <c r="V162">
        <f t="shared" si="97"/>
        <v>6</v>
      </c>
    </row>
    <row r="163" spans="1:22" x14ac:dyDescent="0.25">
      <c r="A163" t="s">
        <v>160</v>
      </c>
      <c r="B163">
        <v>0</v>
      </c>
      <c r="C163">
        <v>0</v>
      </c>
      <c r="D163">
        <f t="shared" si="87"/>
        <v>0</v>
      </c>
      <c r="E163" t="str">
        <f t="shared" si="88"/>
        <v/>
      </c>
      <c r="F163">
        <v>0</v>
      </c>
      <c r="G163">
        <v>0</v>
      </c>
      <c r="H163">
        <f t="shared" si="89"/>
        <v>0</v>
      </c>
      <c r="I163" t="str">
        <f t="shared" si="90"/>
        <v/>
      </c>
      <c r="J163">
        <v>0</v>
      </c>
      <c r="K163">
        <v>0</v>
      </c>
      <c r="L163">
        <f t="shared" si="91"/>
        <v>0</v>
      </c>
      <c r="M163" t="str">
        <f t="shared" si="92"/>
        <v/>
      </c>
      <c r="N163">
        <v>0</v>
      </c>
      <c r="O163">
        <v>0</v>
      </c>
      <c r="P163">
        <f t="shared" si="93"/>
        <v>0</v>
      </c>
      <c r="Q163">
        <v>0</v>
      </c>
      <c r="R163">
        <v>0</v>
      </c>
      <c r="S163">
        <f t="shared" si="94"/>
        <v>0</v>
      </c>
      <c r="T163">
        <f t="shared" si="95"/>
        <v>0</v>
      </c>
      <c r="U163">
        <f t="shared" si="96"/>
        <v>0</v>
      </c>
      <c r="V163">
        <f t="shared" si="97"/>
        <v>0</v>
      </c>
    </row>
    <row r="164" spans="1:22" x14ac:dyDescent="0.25">
      <c r="A164" t="s">
        <v>161</v>
      </c>
      <c r="B164">
        <v>0</v>
      </c>
      <c r="C164">
        <v>0</v>
      </c>
      <c r="D164">
        <f t="shared" si="87"/>
        <v>0</v>
      </c>
      <c r="E164">
        <f t="shared" si="88"/>
        <v>0</v>
      </c>
      <c r="F164">
        <v>0</v>
      </c>
      <c r="G164">
        <v>0</v>
      </c>
      <c r="H164">
        <f t="shared" si="89"/>
        <v>0</v>
      </c>
      <c r="I164">
        <f t="shared" si="90"/>
        <v>0</v>
      </c>
      <c r="J164">
        <v>1</v>
      </c>
      <c r="K164">
        <v>2</v>
      </c>
      <c r="L164">
        <f t="shared" si="91"/>
        <v>3</v>
      </c>
      <c r="M164">
        <f t="shared" si="92"/>
        <v>100</v>
      </c>
      <c r="N164">
        <v>0</v>
      </c>
      <c r="O164">
        <v>1</v>
      </c>
      <c r="P164">
        <f t="shared" si="93"/>
        <v>1</v>
      </c>
      <c r="Q164">
        <v>0</v>
      </c>
      <c r="R164">
        <v>0</v>
      </c>
      <c r="S164">
        <f t="shared" si="94"/>
        <v>0</v>
      </c>
      <c r="T164">
        <f t="shared" si="95"/>
        <v>1</v>
      </c>
      <c r="U164">
        <f t="shared" si="96"/>
        <v>2</v>
      </c>
      <c r="V164">
        <f t="shared" si="97"/>
        <v>3</v>
      </c>
    </row>
    <row r="165" spans="1:22" x14ac:dyDescent="0.25">
      <c r="A165" t="s">
        <v>162</v>
      </c>
      <c r="B165">
        <v>0</v>
      </c>
      <c r="C165">
        <v>0</v>
      </c>
      <c r="D165">
        <f t="shared" si="87"/>
        <v>0</v>
      </c>
      <c r="E165">
        <f t="shared" si="88"/>
        <v>0</v>
      </c>
      <c r="F165">
        <v>0</v>
      </c>
      <c r="G165">
        <v>3</v>
      </c>
      <c r="H165">
        <f t="shared" si="89"/>
        <v>3</v>
      </c>
      <c r="I165">
        <f t="shared" si="90"/>
        <v>37.5</v>
      </c>
      <c r="J165">
        <v>0</v>
      </c>
      <c r="K165">
        <v>5</v>
      </c>
      <c r="L165">
        <f t="shared" si="91"/>
        <v>5</v>
      </c>
      <c r="M165">
        <f t="shared" si="92"/>
        <v>62.5</v>
      </c>
      <c r="N165">
        <v>3</v>
      </c>
      <c r="O165">
        <v>3</v>
      </c>
      <c r="P165">
        <f t="shared" si="93"/>
        <v>6</v>
      </c>
      <c r="Q165">
        <v>0</v>
      </c>
      <c r="R165">
        <v>0</v>
      </c>
      <c r="S165">
        <f t="shared" si="94"/>
        <v>0</v>
      </c>
      <c r="T165">
        <f t="shared" si="95"/>
        <v>0</v>
      </c>
      <c r="U165">
        <f t="shared" si="96"/>
        <v>8</v>
      </c>
      <c r="V165">
        <f t="shared" si="97"/>
        <v>8</v>
      </c>
    </row>
    <row r="166" spans="1:22" x14ac:dyDescent="0.25">
      <c r="A166" t="s">
        <v>163</v>
      </c>
      <c r="B166">
        <v>0</v>
      </c>
      <c r="C166">
        <v>0</v>
      </c>
      <c r="D166">
        <f t="shared" si="87"/>
        <v>0</v>
      </c>
      <c r="E166">
        <f t="shared" si="88"/>
        <v>0</v>
      </c>
      <c r="F166">
        <v>0</v>
      </c>
      <c r="G166">
        <v>1</v>
      </c>
      <c r="H166">
        <f t="shared" si="89"/>
        <v>1</v>
      </c>
      <c r="I166">
        <f t="shared" si="90"/>
        <v>5.5556000000000001</v>
      </c>
      <c r="J166">
        <v>2</v>
      </c>
      <c r="K166">
        <v>15</v>
      </c>
      <c r="L166">
        <f t="shared" si="91"/>
        <v>17</v>
      </c>
      <c r="M166">
        <f t="shared" si="92"/>
        <v>94.444400000000002</v>
      </c>
      <c r="N166">
        <v>0</v>
      </c>
      <c r="O166">
        <v>4</v>
      </c>
      <c r="P166">
        <f t="shared" si="93"/>
        <v>4</v>
      </c>
      <c r="Q166">
        <v>1</v>
      </c>
      <c r="R166">
        <v>0</v>
      </c>
      <c r="S166">
        <f t="shared" si="94"/>
        <v>1</v>
      </c>
      <c r="T166">
        <f t="shared" si="95"/>
        <v>2</v>
      </c>
      <c r="U166">
        <f t="shared" si="96"/>
        <v>16</v>
      </c>
      <c r="V166">
        <f t="shared" si="97"/>
        <v>18</v>
      </c>
    </row>
    <row r="167" spans="1:22" x14ac:dyDescent="0.25">
      <c r="A167" t="s">
        <v>164</v>
      </c>
      <c r="B167">
        <v>0</v>
      </c>
      <c r="C167">
        <v>3</v>
      </c>
      <c r="D167">
        <f t="shared" si="87"/>
        <v>3</v>
      </c>
      <c r="E167">
        <f t="shared" si="88"/>
        <v>42.857100000000003</v>
      </c>
      <c r="F167">
        <v>0</v>
      </c>
      <c r="G167">
        <v>2</v>
      </c>
      <c r="H167">
        <f t="shared" si="89"/>
        <v>2</v>
      </c>
      <c r="I167">
        <f t="shared" si="90"/>
        <v>28.571400000000001</v>
      </c>
      <c r="J167">
        <v>1</v>
      </c>
      <c r="K167">
        <v>1</v>
      </c>
      <c r="L167">
        <f t="shared" si="91"/>
        <v>2</v>
      </c>
      <c r="M167">
        <f t="shared" si="92"/>
        <v>28.571400000000001</v>
      </c>
      <c r="N167">
        <v>1</v>
      </c>
      <c r="O167">
        <v>0</v>
      </c>
      <c r="P167">
        <f t="shared" si="93"/>
        <v>1</v>
      </c>
      <c r="Q167">
        <v>0</v>
      </c>
      <c r="R167">
        <v>0</v>
      </c>
      <c r="S167">
        <f t="shared" si="94"/>
        <v>0</v>
      </c>
      <c r="T167">
        <f t="shared" si="95"/>
        <v>1</v>
      </c>
      <c r="U167">
        <f t="shared" si="96"/>
        <v>6</v>
      </c>
      <c r="V167">
        <f t="shared" si="97"/>
        <v>7</v>
      </c>
    </row>
    <row r="168" spans="1:22" x14ac:dyDescent="0.25">
      <c r="A168" t="s">
        <v>165</v>
      </c>
      <c r="B168">
        <v>0</v>
      </c>
      <c r="C168">
        <v>0</v>
      </c>
      <c r="D168">
        <f t="shared" si="87"/>
        <v>0</v>
      </c>
      <c r="E168" t="str">
        <f t="shared" si="88"/>
        <v/>
      </c>
      <c r="F168">
        <v>0</v>
      </c>
      <c r="G168">
        <v>0</v>
      </c>
      <c r="H168">
        <f t="shared" si="89"/>
        <v>0</v>
      </c>
      <c r="I168" t="str">
        <f t="shared" si="90"/>
        <v/>
      </c>
      <c r="J168">
        <v>0</v>
      </c>
      <c r="K168">
        <v>0</v>
      </c>
      <c r="L168">
        <f t="shared" si="91"/>
        <v>0</v>
      </c>
      <c r="M168" t="str">
        <f t="shared" si="92"/>
        <v/>
      </c>
      <c r="N168">
        <v>0</v>
      </c>
      <c r="O168">
        <v>0</v>
      </c>
      <c r="P168">
        <f t="shared" si="93"/>
        <v>0</v>
      </c>
      <c r="Q168">
        <v>0</v>
      </c>
      <c r="R168">
        <v>0</v>
      </c>
      <c r="S168">
        <f t="shared" si="94"/>
        <v>0</v>
      </c>
      <c r="T168">
        <f t="shared" si="95"/>
        <v>0</v>
      </c>
      <c r="U168">
        <f t="shared" si="96"/>
        <v>0</v>
      </c>
      <c r="V168">
        <f t="shared" si="97"/>
        <v>0</v>
      </c>
    </row>
    <row r="169" spans="1:22" x14ac:dyDescent="0.25">
      <c r="A169" t="s">
        <v>166</v>
      </c>
      <c r="B169">
        <v>0</v>
      </c>
      <c r="C169">
        <v>0</v>
      </c>
      <c r="D169">
        <f t="shared" si="87"/>
        <v>0</v>
      </c>
      <c r="E169">
        <f t="shared" si="88"/>
        <v>0</v>
      </c>
      <c r="F169">
        <v>0</v>
      </c>
      <c r="G169">
        <v>6</v>
      </c>
      <c r="H169">
        <f t="shared" si="89"/>
        <v>6</v>
      </c>
      <c r="I169">
        <f t="shared" si="90"/>
        <v>66.666700000000006</v>
      </c>
      <c r="J169">
        <v>1</v>
      </c>
      <c r="K169">
        <v>2</v>
      </c>
      <c r="L169">
        <f t="shared" si="91"/>
        <v>3</v>
      </c>
      <c r="M169">
        <f t="shared" si="92"/>
        <v>33.333300000000001</v>
      </c>
      <c r="N169">
        <v>0</v>
      </c>
      <c r="O169">
        <v>0</v>
      </c>
      <c r="P169">
        <f t="shared" si="93"/>
        <v>0</v>
      </c>
      <c r="Q169">
        <v>0</v>
      </c>
      <c r="R169">
        <v>1</v>
      </c>
      <c r="S169">
        <f t="shared" si="94"/>
        <v>1</v>
      </c>
      <c r="T169">
        <f t="shared" si="95"/>
        <v>1</v>
      </c>
      <c r="U169">
        <f t="shared" si="96"/>
        <v>8</v>
      </c>
      <c r="V169">
        <f t="shared" si="97"/>
        <v>9</v>
      </c>
    </row>
    <row r="170" spans="1:22" x14ac:dyDescent="0.25">
      <c r="A170" t="s">
        <v>167</v>
      </c>
      <c r="B170">
        <v>0</v>
      </c>
      <c r="C170">
        <v>0</v>
      </c>
      <c r="D170">
        <f t="shared" si="87"/>
        <v>0</v>
      </c>
      <c r="E170" t="str">
        <f t="shared" si="88"/>
        <v/>
      </c>
      <c r="F170">
        <v>0</v>
      </c>
      <c r="G170">
        <v>0</v>
      </c>
      <c r="H170">
        <f t="shared" si="89"/>
        <v>0</v>
      </c>
      <c r="I170" t="str">
        <f t="shared" si="90"/>
        <v/>
      </c>
      <c r="J170">
        <v>0</v>
      </c>
      <c r="K170">
        <v>0</v>
      </c>
      <c r="L170">
        <f t="shared" si="91"/>
        <v>0</v>
      </c>
      <c r="M170" t="str">
        <f t="shared" si="92"/>
        <v/>
      </c>
      <c r="N170">
        <v>0</v>
      </c>
      <c r="O170">
        <v>0</v>
      </c>
      <c r="P170">
        <f t="shared" si="93"/>
        <v>0</v>
      </c>
      <c r="Q170">
        <v>0</v>
      </c>
      <c r="R170">
        <v>0</v>
      </c>
      <c r="S170">
        <f t="shared" si="94"/>
        <v>0</v>
      </c>
      <c r="T170">
        <f t="shared" si="95"/>
        <v>0</v>
      </c>
      <c r="U170">
        <f t="shared" si="96"/>
        <v>0</v>
      </c>
      <c r="V170">
        <f t="shared" si="97"/>
        <v>0</v>
      </c>
    </row>
    <row r="171" spans="1:22" x14ac:dyDescent="0.25">
      <c r="A171" t="s">
        <v>168</v>
      </c>
      <c r="B171">
        <v>0</v>
      </c>
      <c r="C171">
        <v>0</v>
      </c>
      <c r="D171">
        <f t="shared" si="87"/>
        <v>0</v>
      </c>
      <c r="E171" t="str">
        <f t="shared" si="88"/>
        <v/>
      </c>
      <c r="F171">
        <v>0</v>
      </c>
      <c r="G171">
        <v>0</v>
      </c>
      <c r="H171">
        <f t="shared" si="89"/>
        <v>0</v>
      </c>
      <c r="I171" t="str">
        <f t="shared" si="90"/>
        <v/>
      </c>
      <c r="J171">
        <v>0</v>
      </c>
      <c r="K171">
        <v>0</v>
      </c>
      <c r="L171">
        <f t="shared" si="91"/>
        <v>0</v>
      </c>
      <c r="M171" t="str">
        <f t="shared" si="92"/>
        <v/>
      </c>
      <c r="N171">
        <v>0</v>
      </c>
      <c r="O171">
        <v>0</v>
      </c>
      <c r="P171">
        <f t="shared" si="93"/>
        <v>0</v>
      </c>
      <c r="Q171">
        <v>0</v>
      </c>
      <c r="R171">
        <v>0</v>
      </c>
      <c r="S171">
        <f t="shared" si="94"/>
        <v>0</v>
      </c>
      <c r="T171">
        <f t="shared" si="95"/>
        <v>0</v>
      </c>
      <c r="U171">
        <f t="shared" si="96"/>
        <v>0</v>
      </c>
      <c r="V171">
        <f t="shared" si="97"/>
        <v>0</v>
      </c>
    </row>
    <row r="172" spans="1:22" x14ac:dyDescent="0.25">
      <c r="A172" t="s">
        <v>169</v>
      </c>
      <c r="B172">
        <v>0</v>
      </c>
      <c r="C172">
        <v>0</v>
      </c>
      <c r="D172">
        <f t="shared" si="87"/>
        <v>0</v>
      </c>
      <c r="E172" t="str">
        <f t="shared" si="88"/>
        <v/>
      </c>
      <c r="F172">
        <v>0</v>
      </c>
      <c r="G172">
        <v>0</v>
      </c>
      <c r="H172">
        <f t="shared" si="89"/>
        <v>0</v>
      </c>
      <c r="I172" t="str">
        <f t="shared" si="90"/>
        <v/>
      </c>
      <c r="J172">
        <v>0</v>
      </c>
      <c r="K172">
        <v>0</v>
      </c>
      <c r="L172">
        <f t="shared" si="91"/>
        <v>0</v>
      </c>
      <c r="M172" t="str">
        <f t="shared" si="92"/>
        <v/>
      </c>
      <c r="N172">
        <v>0</v>
      </c>
      <c r="O172">
        <v>0</v>
      </c>
      <c r="P172">
        <f t="shared" si="93"/>
        <v>0</v>
      </c>
      <c r="Q172">
        <v>0</v>
      </c>
      <c r="R172">
        <v>0</v>
      </c>
      <c r="S172">
        <f t="shared" si="94"/>
        <v>0</v>
      </c>
      <c r="T172">
        <f t="shared" si="95"/>
        <v>0</v>
      </c>
      <c r="U172">
        <f t="shared" si="96"/>
        <v>0</v>
      </c>
      <c r="V172">
        <f t="shared" si="97"/>
        <v>0</v>
      </c>
    </row>
    <row r="173" spans="1:22" x14ac:dyDescent="0.25">
      <c r="A173" t="s">
        <v>170</v>
      </c>
      <c r="B173">
        <v>0</v>
      </c>
      <c r="C173">
        <v>0</v>
      </c>
      <c r="D173">
        <f t="shared" si="87"/>
        <v>0</v>
      </c>
      <c r="E173" t="str">
        <f t="shared" si="88"/>
        <v/>
      </c>
      <c r="F173">
        <v>0</v>
      </c>
      <c r="G173">
        <v>0</v>
      </c>
      <c r="H173">
        <f t="shared" si="89"/>
        <v>0</v>
      </c>
      <c r="I173" t="str">
        <f t="shared" si="90"/>
        <v/>
      </c>
      <c r="J173">
        <v>0</v>
      </c>
      <c r="K173">
        <v>0</v>
      </c>
      <c r="L173">
        <f t="shared" si="91"/>
        <v>0</v>
      </c>
      <c r="M173" t="str">
        <f t="shared" si="92"/>
        <v/>
      </c>
      <c r="N173">
        <v>0</v>
      </c>
      <c r="O173">
        <v>0</v>
      </c>
      <c r="P173">
        <f t="shared" si="93"/>
        <v>0</v>
      </c>
      <c r="Q173">
        <v>0</v>
      </c>
      <c r="R173">
        <v>0</v>
      </c>
      <c r="S173">
        <f t="shared" si="94"/>
        <v>0</v>
      </c>
      <c r="T173">
        <f t="shared" si="95"/>
        <v>0</v>
      </c>
      <c r="U173">
        <f t="shared" si="96"/>
        <v>0</v>
      </c>
      <c r="V173">
        <f t="shared" si="97"/>
        <v>0</v>
      </c>
    </row>
    <row r="174" spans="1:22" x14ac:dyDescent="0.25">
      <c r="A174" t="s">
        <v>171</v>
      </c>
      <c r="B174">
        <v>0</v>
      </c>
      <c r="C174">
        <v>0</v>
      </c>
      <c r="D174">
        <f t="shared" si="87"/>
        <v>0</v>
      </c>
      <c r="E174" t="str">
        <f t="shared" si="88"/>
        <v/>
      </c>
      <c r="F174">
        <v>0</v>
      </c>
      <c r="G174">
        <v>0</v>
      </c>
      <c r="H174">
        <f t="shared" si="89"/>
        <v>0</v>
      </c>
      <c r="I174" t="str">
        <f t="shared" si="90"/>
        <v/>
      </c>
      <c r="J174">
        <v>0</v>
      </c>
      <c r="K174">
        <v>0</v>
      </c>
      <c r="L174">
        <f t="shared" si="91"/>
        <v>0</v>
      </c>
      <c r="M174" t="str">
        <f t="shared" si="92"/>
        <v/>
      </c>
      <c r="N174">
        <v>0</v>
      </c>
      <c r="O174">
        <v>0</v>
      </c>
      <c r="P174">
        <f t="shared" si="93"/>
        <v>0</v>
      </c>
      <c r="Q174">
        <v>0</v>
      </c>
      <c r="R174">
        <v>0</v>
      </c>
      <c r="S174">
        <f t="shared" si="94"/>
        <v>0</v>
      </c>
      <c r="T174">
        <f t="shared" si="95"/>
        <v>0</v>
      </c>
      <c r="U174">
        <f t="shared" si="96"/>
        <v>0</v>
      </c>
      <c r="V174">
        <f t="shared" si="97"/>
        <v>0</v>
      </c>
    </row>
    <row r="175" spans="1:22" x14ac:dyDescent="0.25">
      <c r="A175" t="s">
        <v>172</v>
      </c>
      <c r="B175">
        <v>2</v>
      </c>
      <c r="C175">
        <v>0</v>
      </c>
      <c r="D175">
        <f t="shared" si="87"/>
        <v>2</v>
      </c>
      <c r="E175">
        <f t="shared" si="88"/>
        <v>33.333300000000001</v>
      </c>
      <c r="F175">
        <v>3</v>
      </c>
      <c r="G175">
        <v>0</v>
      </c>
      <c r="H175">
        <f t="shared" si="89"/>
        <v>3</v>
      </c>
      <c r="I175">
        <f t="shared" si="90"/>
        <v>50</v>
      </c>
      <c r="J175">
        <v>1</v>
      </c>
      <c r="K175">
        <v>0</v>
      </c>
      <c r="L175">
        <f t="shared" si="91"/>
        <v>1</v>
      </c>
      <c r="M175">
        <f t="shared" si="92"/>
        <v>16.666699999999999</v>
      </c>
      <c r="N175">
        <v>0</v>
      </c>
      <c r="O175">
        <v>0</v>
      </c>
      <c r="P175">
        <f t="shared" si="93"/>
        <v>0</v>
      </c>
      <c r="Q175">
        <v>0</v>
      </c>
      <c r="R175">
        <v>0</v>
      </c>
      <c r="S175">
        <f t="shared" si="94"/>
        <v>0</v>
      </c>
      <c r="T175">
        <f t="shared" si="95"/>
        <v>6</v>
      </c>
      <c r="U175">
        <f t="shared" si="96"/>
        <v>0</v>
      </c>
      <c r="V175">
        <f t="shared" si="97"/>
        <v>6</v>
      </c>
    </row>
    <row r="177" spans="1:22" x14ac:dyDescent="0.25">
      <c r="A177" s="8" t="s">
        <v>173</v>
      </c>
      <c r="B177" s="8" t="s">
        <v>173</v>
      </c>
      <c r="C177" s="8" t="s">
        <v>173</v>
      </c>
      <c r="D177" s="8" t="s">
        <v>173</v>
      </c>
      <c r="E177" s="8" t="s">
        <v>173</v>
      </c>
      <c r="F177" s="8" t="s">
        <v>173</v>
      </c>
      <c r="G177" s="8" t="s">
        <v>173</v>
      </c>
      <c r="H177" s="8" t="s">
        <v>173</v>
      </c>
      <c r="I177" s="8" t="s">
        <v>173</v>
      </c>
      <c r="J177" s="8" t="s">
        <v>173</v>
      </c>
      <c r="K177" s="8" t="s">
        <v>173</v>
      </c>
      <c r="L177" s="8" t="s">
        <v>173</v>
      </c>
      <c r="M177" s="8" t="s">
        <v>173</v>
      </c>
      <c r="N177" s="8" t="s">
        <v>173</v>
      </c>
      <c r="O177" s="8" t="s">
        <v>173</v>
      </c>
      <c r="P177" s="8" t="s">
        <v>173</v>
      </c>
      <c r="Q177" s="8" t="s">
        <v>173</v>
      </c>
      <c r="R177" s="8" t="s">
        <v>173</v>
      </c>
      <c r="S177" s="8" t="s">
        <v>173</v>
      </c>
      <c r="T177" s="8" t="s">
        <v>173</v>
      </c>
      <c r="U177" s="8" t="s">
        <v>173</v>
      </c>
      <c r="V177" s="8" t="s">
        <v>173</v>
      </c>
    </row>
    <row r="178" spans="1:22" x14ac:dyDescent="0.25">
      <c r="A178" t="s">
        <v>174</v>
      </c>
      <c r="B178">
        <v>0</v>
      </c>
      <c r="C178">
        <v>0</v>
      </c>
      <c r="D178">
        <f t="shared" ref="D178:D191" si="98">B178+C178</f>
        <v>0</v>
      </c>
      <c r="E178">
        <f t="shared" ref="E178:E191" si="99">IF(V178&gt;0,ROUND((D178/V178) * 100, 4), "")</f>
        <v>0</v>
      </c>
      <c r="F178">
        <v>0</v>
      </c>
      <c r="G178">
        <v>1</v>
      </c>
      <c r="H178">
        <f t="shared" ref="H178:H191" si="100">F178+G178</f>
        <v>1</v>
      </c>
      <c r="I178">
        <f t="shared" ref="I178:I191" si="101">IF(V178&gt;0,ROUND((H178/V178) * 100, 4), "")</f>
        <v>100</v>
      </c>
      <c r="J178">
        <v>0</v>
      </c>
      <c r="K178">
        <v>0</v>
      </c>
      <c r="L178">
        <f t="shared" ref="L178:L191" si="102">J178+K178</f>
        <v>0</v>
      </c>
      <c r="M178">
        <f t="shared" ref="M178:M191" si="103">IF(V178&gt;0,ROUND((L178/V178) * 100, 4), "")</f>
        <v>0</v>
      </c>
      <c r="N178">
        <v>0</v>
      </c>
      <c r="O178">
        <v>0</v>
      </c>
      <c r="P178">
        <f t="shared" ref="P178:P191" si="104">N178+O178</f>
        <v>0</v>
      </c>
      <c r="Q178">
        <v>0</v>
      </c>
      <c r="R178">
        <v>1</v>
      </c>
      <c r="S178">
        <f t="shared" ref="S178:S191" si="105">Q178+R178</f>
        <v>1</v>
      </c>
      <c r="T178">
        <f t="shared" ref="T178:T191" si="106">B178+F178+J178</f>
        <v>0</v>
      </c>
      <c r="U178">
        <f t="shared" ref="U178:U191" si="107">C178+G178+K178</f>
        <v>1</v>
      </c>
      <c r="V178">
        <f t="shared" ref="V178:V191" si="108">T178+U178</f>
        <v>1</v>
      </c>
    </row>
    <row r="179" spans="1:22" x14ac:dyDescent="0.25">
      <c r="A179" t="s">
        <v>175</v>
      </c>
      <c r="B179">
        <v>0</v>
      </c>
      <c r="C179">
        <v>0</v>
      </c>
      <c r="D179">
        <f t="shared" si="98"/>
        <v>0</v>
      </c>
      <c r="E179" t="str">
        <f t="shared" si="99"/>
        <v/>
      </c>
      <c r="F179">
        <v>0</v>
      </c>
      <c r="G179">
        <v>0</v>
      </c>
      <c r="H179">
        <f t="shared" si="100"/>
        <v>0</v>
      </c>
      <c r="I179" t="str">
        <f t="shared" si="101"/>
        <v/>
      </c>
      <c r="J179">
        <v>0</v>
      </c>
      <c r="K179">
        <v>0</v>
      </c>
      <c r="L179">
        <f t="shared" si="102"/>
        <v>0</v>
      </c>
      <c r="M179" t="str">
        <f t="shared" si="103"/>
        <v/>
      </c>
      <c r="N179">
        <v>0</v>
      </c>
      <c r="O179">
        <v>0</v>
      </c>
      <c r="P179">
        <f t="shared" si="104"/>
        <v>0</v>
      </c>
      <c r="Q179">
        <v>0</v>
      </c>
      <c r="R179">
        <v>0</v>
      </c>
      <c r="S179">
        <f t="shared" si="105"/>
        <v>0</v>
      </c>
      <c r="T179">
        <f t="shared" si="106"/>
        <v>0</v>
      </c>
      <c r="U179">
        <f t="shared" si="107"/>
        <v>0</v>
      </c>
      <c r="V179">
        <f t="shared" si="108"/>
        <v>0</v>
      </c>
    </row>
    <row r="180" spans="1:22" x14ac:dyDescent="0.25">
      <c r="A180" t="s">
        <v>176</v>
      </c>
      <c r="B180">
        <v>0</v>
      </c>
      <c r="C180">
        <v>1</v>
      </c>
      <c r="D180">
        <f t="shared" si="98"/>
        <v>1</v>
      </c>
      <c r="E180">
        <f t="shared" si="99"/>
        <v>100</v>
      </c>
      <c r="F180">
        <v>0</v>
      </c>
      <c r="G180">
        <v>0</v>
      </c>
      <c r="H180">
        <f t="shared" si="100"/>
        <v>0</v>
      </c>
      <c r="I180">
        <f t="shared" si="101"/>
        <v>0</v>
      </c>
      <c r="J180">
        <v>0</v>
      </c>
      <c r="K180">
        <v>0</v>
      </c>
      <c r="L180">
        <f t="shared" si="102"/>
        <v>0</v>
      </c>
      <c r="M180">
        <f t="shared" si="103"/>
        <v>0</v>
      </c>
      <c r="N180">
        <v>0</v>
      </c>
      <c r="O180">
        <v>0</v>
      </c>
      <c r="P180">
        <f t="shared" si="104"/>
        <v>0</v>
      </c>
      <c r="Q180">
        <v>0</v>
      </c>
      <c r="R180">
        <v>0</v>
      </c>
      <c r="S180">
        <f t="shared" si="105"/>
        <v>0</v>
      </c>
      <c r="T180">
        <f t="shared" si="106"/>
        <v>0</v>
      </c>
      <c r="U180">
        <f t="shared" si="107"/>
        <v>1</v>
      </c>
      <c r="V180">
        <f t="shared" si="108"/>
        <v>1</v>
      </c>
    </row>
    <row r="181" spans="1:22" x14ac:dyDescent="0.25">
      <c r="A181" t="s">
        <v>177</v>
      </c>
      <c r="B181">
        <v>1</v>
      </c>
      <c r="C181">
        <v>5</v>
      </c>
      <c r="D181">
        <f t="shared" si="98"/>
        <v>6</v>
      </c>
      <c r="E181">
        <f t="shared" si="99"/>
        <v>17.142900000000001</v>
      </c>
      <c r="F181">
        <v>9</v>
      </c>
      <c r="G181">
        <v>1</v>
      </c>
      <c r="H181">
        <f t="shared" si="100"/>
        <v>10</v>
      </c>
      <c r="I181">
        <f t="shared" si="101"/>
        <v>28.571400000000001</v>
      </c>
      <c r="J181">
        <v>14</v>
      </c>
      <c r="K181">
        <v>5</v>
      </c>
      <c r="L181">
        <f t="shared" si="102"/>
        <v>19</v>
      </c>
      <c r="M181">
        <f t="shared" si="103"/>
        <v>54.285699999999999</v>
      </c>
      <c r="N181">
        <v>1</v>
      </c>
      <c r="O181">
        <v>0</v>
      </c>
      <c r="P181">
        <f t="shared" si="104"/>
        <v>1</v>
      </c>
      <c r="Q181">
        <v>6</v>
      </c>
      <c r="R181">
        <v>3</v>
      </c>
      <c r="S181">
        <f t="shared" si="105"/>
        <v>9</v>
      </c>
      <c r="T181">
        <f t="shared" si="106"/>
        <v>24</v>
      </c>
      <c r="U181">
        <f t="shared" si="107"/>
        <v>11</v>
      </c>
      <c r="V181">
        <f t="shared" si="108"/>
        <v>35</v>
      </c>
    </row>
    <row r="182" spans="1:22" x14ac:dyDescent="0.25">
      <c r="A182" t="s">
        <v>178</v>
      </c>
      <c r="B182">
        <v>6</v>
      </c>
      <c r="C182">
        <v>17</v>
      </c>
      <c r="D182">
        <f t="shared" si="98"/>
        <v>23</v>
      </c>
      <c r="E182">
        <f t="shared" si="99"/>
        <v>3.7338</v>
      </c>
      <c r="F182">
        <v>220</v>
      </c>
      <c r="G182">
        <v>77</v>
      </c>
      <c r="H182">
        <f t="shared" si="100"/>
        <v>297</v>
      </c>
      <c r="I182">
        <f t="shared" si="101"/>
        <v>48.214300000000001</v>
      </c>
      <c r="J182">
        <v>196</v>
      </c>
      <c r="K182">
        <v>100</v>
      </c>
      <c r="L182">
        <f t="shared" si="102"/>
        <v>296</v>
      </c>
      <c r="M182">
        <f t="shared" si="103"/>
        <v>48.051900000000003</v>
      </c>
      <c r="N182">
        <v>5</v>
      </c>
      <c r="O182">
        <v>4</v>
      </c>
      <c r="P182">
        <f t="shared" si="104"/>
        <v>9</v>
      </c>
      <c r="Q182">
        <v>87</v>
      </c>
      <c r="R182">
        <v>51</v>
      </c>
      <c r="S182">
        <f t="shared" si="105"/>
        <v>138</v>
      </c>
      <c r="T182">
        <f t="shared" si="106"/>
        <v>422</v>
      </c>
      <c r="U182">
        <f t="shared" si="107"/>
        <v>194</v>
      </c>
      <c r="V182">
        <f t="shared" si="108"/>
        <v>616</v>
      </c>
    </row>
    <row r="183" spans="1:22" x14ac:dyDescent="0.25">
      <c r="A183" t="s">
        <v>179</v>
      </c>
      <c r="B183">
        <v>0</v>
      </c>
      <c r="C183">
        <v>0</v>
      </c>
      <c r="D183">
        <f t="shared" si="98"/>
        <v>0</v>
      </c>
      <c r="E183">
        <f t="shared" si="99"/>
        <v>0</v>
      </c>
      <c r="F183">
        <v>0</v>
      </c>
      <c r="G183">
        <v>0</v>
      </c>
      <c r="H183">
        <f t="shared" si="100"/>
        <v>0</v>
      </c>
      <c r="I183">
        <f t="shared" si="101"/>
        <v>0</v>
      </c>
      <c r="J183">
        <v>0</v>
      </c>
      <c r="K183">
        <v>2</v>
      </c>
      <c r="L183">
        <f t="shared" si="102"/>
        <v>2</v>
      </c>
      <c r="M183">
        <f t="shared" si="103"/>
        <v>100</v>
      </c>
      <c r="N183">
        <v>0</v>
      </c>
      <c r="O183">
        <v>0</v>
      </c>
      <c r="P183">
        <f t="shared" si="104"/>
        <v>0</v>
      </c>
      <c r="Q183">
        <v>0</v>
      </c>
      <c r="R183">
        <v>0</v>
      </c>
      <c r="S183">
        <f t="shared" si="105"/>
        <v>0</v>
      </c>
      <c r="T183">
        <f t="shared" si="106"/>
        <v>0</v>
      </c>
      <c r="U183">
        <f t="shared" si="107"/>
        <v>2</v>
      </c>
      <c r="V183">
        <f t="shared" si="108"/>
        <v>2</v>
      </c>
    </row>
    <row r="184" spans="1:22" x14ac:dyDescent="0.25">
      <c r="A184" t="s">
        <v>180</v>
      </c>
      <c r="B184">
        <v>11</v>
      </c>
      <c r="C184">
        <v>3</v>
      </c>
      <c r="D184">
        <f t="shared" si="98"/>
        <v>14</v>
      </c>
      <c r="E184">
        <f t="shared" si="99"/>
        <v>2.7027000000000001</v>
      </c>
      <c r="F184">
        <v>212</v>
      </c>
      <c r="G184">
        <v>109</v>
      </c>
      <c r="H184">
        <f t="shared" si="100"/>
        <v>321</v>
      </c>
      <c r="I184">
        <f t="shared" si="101"/>
        <v>61.969099999999997</v>
      </c>
      <c r="J184">
        <v>73</v>
      </c>
      <c r="K184">
        <v>110</v>
      </c>
      <c r="L184">
        <f t="shared" si="102"/>
        <v>183</v>
      </c>
      <c r="M184">
        <f t="shared" si="103"/>
        <v>35.328200000000002</v>
      </c>
      <c r="N184">
        <v>0</v>
      </c>
      <c r="O184">
        <v>0</v>
      </c>
      <c r="P184">
        <f t="shared" si="104"/>
        <v>0</v>
      </c>
      <c r="Q184">
        <v>1</v>
      </c>
      <c r="R184">
        <v>1</v>
      </c>
      <c r="S184">
        <f t="shared" si="105"/>
        <v>2</v>
      </c>
      <c r="T184">
        <f t="shared" si="106"/>
        <v>296</v>
      </c>
      <c r="U184">
        <f t="shared" si="107"/>
        <v>222</v>
      </c>
      <c r="V184">
        <f t="shared" si="108"/>
        <v>518</v>
      </c>
    </row>
    <row r="185" spans="1:22" x14ac:dyDescent="0.25">
      <c r="A185" t="s">
        <v>181</v>
      </c>
      <c r="B185">
        <v>1076</v>
      </c>
      <c r="C185">
        <v>58</v>
      </c>
      <c r="D185">
        <f t="shared" si="98"/>
        <v>1134</v>
      </c>
      <c r="E185">
        <f t="shared" si="99"/>
        <v>21.011700000000001</v>
      </c>
      <c r="F185">
        <v>2751</v>
      </c>
      <c r="G185">
        <v>156</v>
      </c>
      <c r="H185">
        <f t="shared" si="100"/>
        <v>2907</v>
      </c>
      <c r="I185">
        <f t="shared" si="101"/>
        <v>53.863300000000002</v>
      </c>
      <c r="J185">
        <v>1163</v>
      </c>
      <c r="K185">
        <v>193</v>
      </c>
      <c r="L185">
        <f t="shared" si="102"/>
        <v>1356</v>
      </c>
      <c r="M185">
        <f t="shared" si="103"/>
        <v>25.1251</v>
      </c>
      <c r="N185">
        <v>2</v>
      </c>
      <c r="O185">
        <v>4</v>
      </c>
      <c r="P185">
        <f t="shared" si="104"/>
        <v>6</v>
      </c>
      <c r="Q185">
        <v>6662</v>
      </c>
      <c r="R185">
        <v>70</v>
      </c>
      <c r="S185">
        <f t="shared" si="105"/>
        <v>6732</v>
      </c>
      <c r="T185">
        <f t="shared" si="106"/>
        <v>4990</v>
      </c>
      <c r="U185">
        <f t="shared" si="107"/>
        <v>407</v>
      </c>
      <c r="V185">
        <f t="shared" si="108"/>
        <v>5397</v>
      </c>
    </row>
    <row r="186" spans="1:22" x14ac:dyDescent="0.25">
      <c r="A186" t="s">
        <v>182</v>
      </c>
      <c r="B186">
        <v>0</v>
      </c>
      <c r="C186">
        <v>0</v>
      </c>
      <c r="D186">
        <f t="shared" si="98"/>
        <v>0</v>
      </c>
      <c r="E186" t="str">
        <f t="shared" si="99"/>
        <v/>
      </c>
      <c r="F186">
        <v>0</v>
      </c>
      <c r="G186">
        <v>0</v>
      </c>
      <c r="H186">
        <f t="shared" si="100"/>
        <v>0</v>
      </c>
      <c r="I186" t="str">
        <f t="shared" si="101"/>
        <v/>
      </c>
      <c r="J186">
        <v>0</v>
      </c>
      <c r="K186">
        <v>0</v>
      </c>
      <c r="L186">
        <f t="shared" si="102"/>
        <v>0</v>
      </c>
      <c r="M186" t="str">
        <f t="shared" si="103"/>
        <v/>
      </c>
      <c r="N186">
        <v>0</v>
      </c>
      <c r="O186">
        <v>0</v>
      </c>
      <c r="P186">
        <f t="shared" si="104"/>
        <v>0</v>
      </c>
      <c r="Q186">
        <v>0</v>
      </c>
      <c r="R186">
        <v>0</v>
      </c>
      <c r="S186">
        <f t="shared" si="105"/>
        <v>0</v>
      </c>
      <c r="T186">
        <f t="shared" si="106"/>
        <v>0</v>
      </c>
      <c r="U186">
        <f t="shared" si="107"/>
        <v>0</v>
      </c>
      <c r="V186">
        <f t="shared" si="108"/>
        <v>0</v>
      </c>
    </row>
    <row r="187" spans="1:22" x14ac:dyDescent="0.25">
      <c r="A187" t="s">
        <v>183</v>
      </c>
      <c r="B187">
        <v>0</v>
      </c>
      <c r="C187">
        <v>1</v>
      </c>
      <c r="D187">
        <f t="shared" si="98"/>
        <v>1</v>
      </c>
      <c r="E187">
        <f t="shared" si="99"/>
        <v>100</v>
      </c>
      <c r="F187">
        <v>0</v>
      </c>
      <c r="G187">
        <v>0</v>
      </c>
      <c r="H187">
        <f t="shared" si="100"/>
        <v>0</v>
      </c>
      <c r="I187">
        <f t="shared" si="101"/>
        <v>0</v>
      </c>
      <c r="J187">
        <v>0</v>
      </c>
      <c r="K187">
        <v>0</v>
      </c>
      <c r="L187">
        <f t="shared" si="102"/>
        <v>0</v>
      </c>
      <c r="M187">
        <f t="shared" si="103"/>
        <v>0</v>
      </c>
      <c r="N187">
        <v>0</v>
      </c>
      <c r="O187">
        <v>0</v>
      </c>
      <c r="P187">
        <f t="shared" si="104"/>
        <v>0</v>
      </c>
      <c r="Q187">
        <v>0</v>
      </c>
      <c r="R187">
        <v>0</v>
      </c>
      <c r="S187">
        <f t="shared" si="105"/>
        <v>0</v>
      </c>
      <c r="T187">
        <f t="shared" si="106"/>
        <v>0</v>
      </c>
      <c r="U187">
        <f t="shared" si="107"/>
        <v>1</v>
      </c>
      <c r="V187">
        <f t="shared" si="108"/>
        <v>1</v>
      </c>
    </row>
    <row r="188" spans="1:22" x14ac:dyDescent="0.25">
      <c r="A188" t="s">
        <v>184</v>
      </c>
      <c r="B188">
        <v>0</v>
      </c>
      <c r="C188">
        <v>0</v>
      </c>
      <c r="D188">
        <f t="shared" si="98"/>
        <v>0</v>
      </c>
      <c r="E188">
        <f t="shared" si="99"/>
        <v>0</v>
      </c>
      <c r="F188">
        <v>0</v>
      </c>
      <c r="G188">
        <v>5</v>
      </c>
      <c r="H188">
        <f t="shared" si="100"/>
        <v>5</v>
      </c>
      <c r="I188">
        <f t="shared" si="101"/>
        <v>55.555599999999998</v>
      </c>
      <c r="J188">
        <v>0</v>
      </c>
      <c r="K188">
        <v>4</v>
      </c>
      <c r="L188">
        <f t="shared" si="102"/>
        <v>4</v>
      </c>
      <c r="M188">
        <f t="shared" si="103"/>
        <v>44.444400000000002</v>
      </c>
      <c r="N188">
        <v>0</v>
      </c>
      <c r="O188">
        <v>1</v>
      </c>
      <c r="P188">
        <f t="shared" si="104"/>
        <v>1</v>
      </c>
      <c r="Q188">
        <v>0</v>
      </c>
      <c r="R188">
        <v>4</v>
      </c>
      <c r="S188">
        <f t="shared" si="105"/>
        <v>4</v>
      </c>
      <c r="T188">
        <f t="shared" si="106"/>
        <v>0</v>
      </c>
      <c r="U188">
        <f t="shared" si="107"/>
        <v>9</v>
      </c>
      <c r="V188">
        <f t="shared" si="108"/>
        <v>9</v>
      </c>
    </row>
    <row r="189" spans="1:22" x14ac:dyDescent="0.25">
      <c r="A189" t="s">
        <v>185</v>
      </c>
      <c r="B189">
        <v>0</v>
      </c>
      <c r="C189">
        <v>0</v>
      </c>
      <c r="D189">
        <f t="shared" si="98"/>
        <v>0</v>
      </c>
      <c r="E189" t="str">
        <f t="shared" si="99"/>
        <v/>
      </c>
      <c r="F189">
        <v>0</v>
      </c>
      <c r="G189">
        <v>0</v>
      </c>
      <c r="H189">
        <f t="shared" si="100"/>
        <v>0</v>
      </c>
      <c r="I189" t="str">
        <f t="shared" si="101"/>
        <v/>
      </c>
      <c r="J189">
        <v>0</v>
      </c>
      <c r="K189">
        <v>0</v>
      </c>
      <c r="L189">
        <f t="shared" si="102"/>
        <v>0</v>
      </c>
      <c r="M189" t="str">
        <f t="shared" si="103"/>
        <v/>
      </c>
      <c r="N189">
        <v>0</v>
      </c>
      <c r="O189">
        <v>0</v>
      </c>
      <c r="P189">
        <f t="shared" si="104"/>
        <v>0</v>
      </c>
      <c r="Q189">
        <v>0</v>
      </c>
      <c r="R189">
        <v>0</v>
      </c>
      <c r="S189">
        <f t="shared" si="105"/>
        <v>0</v>
      </c>
      <c r="T189">
        <f t="shared" si="106"/>
        <v>0</v>
      </c>
      <c r="U189">
        <f t="shared" si="107"/>
        <v>0</v>
      </c>
      <c r="V189">
        <f t="shared" si="108"/>
        <v>0</v>
      </c>
    </row>
    <row r="190" spans="1:22" x14ac:dyDescent="0.25">
      <c r="A190" t="s">
        <v>186</v>
      </c>
      <c r="B190">
        <v>0</v>
      </c>
      <c r="C190">
        <v>0</v>
      </c>
      <c r="D190">
        <f t="shared" si="98"/>
        <v>0</v>
      </c>
      <c r="E190" t="str">
        <f t="shared" si="99"/>
        <v/>
      </c>
      <c r="F190">
        <v>0</v>
      </c>
      <c r="G190">
        <v>0</v>
      </c>
      <c r="H190">
        <f t="shared" si="100"/>
        <v>0</v>
      </c>
      <c r="I190" t="str">
        <f t="shared" si="101"/>
        <v/>
      </c>
      <c r="J190">
        <v>0</v>
      </c>
      <c r="K190">
        <v>0</v>
      </c>
      <c r="L190">
        <f t="shared" si="102"/>
        <v>0</v>
      </c>
      <c r="M190" t="str">
        <f t="shared" si="103"/>
        <v/>
      </c>
      <c r="N190">
        <v>0</v>
      </c>
      <c r="O190">
        <v>0</v>
      </c>
      <c r="P190">
        <f t="shared" si="104"/>
        <v>0</v>
      </c>
      <c r="Q190">
        <v>0</v>
      </c>
      <c r="R190">
        <v>0</v>
      </c>
      <c r="S190">
        <f t="shared" si="105"/>
        <v>0</v>
      </c>
      <c r="T190">
        <f t="shared" si="106"/>
        <v>0</v>
      </c>
      <c r="U190">
        <f t="shared" si="107"/>
        <v>0</v>
      </c>
      <c r="V190">
        <f t="shared" si="108"/>
        <v>0</v>
      </c>
    </row>
    <row r="191" spans="1:22" x14ac:dyDescent="0.25">
      <c r="A191" t="s">
        <v>187</v>
      </c>
      <c r="B191">
        <v>1</v>
      </c>
      <c r="C191">
        <v>5</v>
      </c>
      <c r="D191">
        <f t="shared" si="98"/>
        <v>6</v>
      </c>
      <c r="E191">
        <f t="shared" si="99"/>
        <v>37.5</v>
      </c>
      <c r="F191">
        <v>5</v>
      </c>
      <c r="G191">
        <v>4</v>
      </c>
      <c r="H191">
        <f t="shared" si="100"/>
        <v>9</v>
      </c>
      <c r="I191">
        <f t="shared" si="101"/>
        <v>56.25</v>
      </c>
      <c r="J191">
        <v>1</v>
      </c>
      <c r="K191">
        <v>0</v>
      </c>
      <c r="L191">
        <f t="shared" si="102"/>
        <v>1</v>
      </c>
      <c r="M191">
        <f t="shared" si="103"/>
        <v>6.25</v>
      </c>
      <c r="N191">
        <v>1</v>
      </c>
      <c r="O191">
        <v>1</v>
      </c>
      <c r="P191">
        <f t="shared" si="104"/>
        <v>2</v>
      </c>
      <c r="Q191">
        <v>1</v>
      </c>
      <c r="R191">
        <v>0</v>
      </c>
      <c r="S191">
        <f t="shared" si="105"/>
        <v>1</v>
      </c>
      <c r="T191">
        <f t="shared" si="106"/>
        <v>7</v>
      </c>
      <c r="U191">
        <f t="shared" si="107"/>
        <v>9</v>
      </c>
      <c r="V191">
        <f t="shared" si="108"/>
        <v>16</v>
      </c>
    </row>
    <row r="193" spans="1:22" x14ac:dyDescent="0.25">
      <c r="A193" s="8" t="s">
        <v>188</v>
      </c>
      <c r="B193" s="8" t="s">
        <v>188</v>
      </c>
      <c r="C193" s="8" t="s">
        <v>188</v>
      </c>
      <c r="D193" s="8" t="s">
        <v>188</v>
      </c>
      <c r="E193" s="8" t="s">
        <v>188</v>
      </c>
      <c r="F193" s="8" t="s">
        <v>188</v>
      </c>
      <c r="G193" s="8" t="s">
        <v>188</v>
      </c>
      <c r="H193" s="8" t="s">
        <v>188</v>
      </c>
      <c r="I193" s="8" t="s">
        <v>188</v>
      </c>
      <c r="J193" s="8" t="s">
        <v>188</v>
      </c>
      <c r="K193" s="8" t="s">
        <v>188</v>
      </c>
      <c r="L193" s="8" t="s">
        <v>188</v>
      </c>
      <c r="M193" s="8" t="s">
        <v>188</v>
      </c>
      <c r="N193" s="8" t="s">
        <v>188</v>
      </c>
      <c r="O193" s="8" t="s">
        <v>188</v>
      </c>
      <c r="P193" s="8" t="s">
        <v>188</v>
      </c>
      <c r="Q193" s="8" t="s">
        <v>188</v>
      </c>
      <c r="R193" s="8" t="s">
        <v>188</v>
      </c>
      <c r="S193" s="8" t="s">
        <v>188</v>
      </c>
      <c r="T193" s="8" t="s">
        <v>188</v>
      </c>
      <c r="U193" s="8" t="s">
        <v>188</v>
      </c>
      <c r="V193" s="8" t="s">
        <v>188</v>
      </c>
    </row>
    <row r="194" spans="1:22" x14ac:dyDescent="0.25">
      <c r="A194" t="s">
        <v>189</v>
      </c>
      <c r="B194">
        <v>0</v>
      </c>
      <c r="C194">
        <v>0</v>
      </c>
      <c r="D194">
        <f t="shared" ref="D194:D207" si="109">B194+C194</f>
        <v>0</v>
      </c>
      <c r="E194">
        <f t="shared" ref="E194:E207" si="110">IF(V194&gt;0,ROUND((D194/V194) * 100, 4), "")</f>
        <v>0</v>
      </c>
      <c r="F194">
        <v>0</v>
      </c>
      <c r="G194">
        <v>0</v>
      </c>
      <c r="H194">
        <f t="shared" ref="H194:H207" si="111">F194+G194</f>
        <v>0</v>
      </c>
      <c r="I194">
        <f t="shared" ref="I194:I207" si="112">IF(V194&gt;0,ROUND((H194/V194) * 100, 4), "")</f>
        <v>0</v>
      </c>
      <c r="J194">
        <v>0</v>
      </c>
      <c r="K194">
        <v>1</v>
      </c>
      <c r="L194">
        <f t="shared" ref="L194:L207" si="113">J194+K194</f>
        <v>1</v>
      </c>
      <c r="M194">
        <f t="shared" ref="M194:M207" si="114">IF(V194&gt;0,ROUND((L194/V194) * 100, 4), "")</f>
        <v>100</v>
      </c>
      <c r="N194">
        <v>0</v>
      </c>
      <c r="O194">
        <v>0</v>
      </c>
      <c r="P194">
        <f t="shared" ref="P194:P207" si="115">N194+O194</f>
        <v>0</v>
      </c>
      <c r="Q194">
        <v>0</v>
      </c>
      <c r="R194">
        <v>0</v>
      </c>
      <c r="S194">
        <f t="shared" ref="S194:S207" si="116">Q194+R194</f>
        <v>0</v>
      </c>
      <c r="T194">
        <f t="shared" ref="T194:T207" si="117">B194+F194+J194</f>
        <v>0</v>
      </c>
      <c r="U194">
        <f t="shared" ref="U194:U207" si="118">C194+G194+K194</f>
        <v>1</v>
      </c>
      <c r="V194">
        <f t="shared" ref="V194:V207" si="119">T194+U194</f>
        <v>1</v>
      </c>
    </row>
    <row r="195" spans="1:22" x14ac:dyDescent="0.25">
      <c r="A195" t="s">
        <v>190</v>
      </c>
      <c r="B195">
        <v>0</v>
      </c>
      <c r="C195">
        <v>0</v>
      </c>
      <c r="D195">
        <f t="shared" si="109"/>
        <v>0</v>
      </c>
      <c r="E195" t="str">
        <f t="shared" si="110"/>
        <v/>
      </c>
      <c r="F195">
        <v>0</v>
      </c>
      <c r="G195">
        <v>0</v>
      </c>
      <c r="H195">
        <f t="shared" si="111"/>
        <v>0</v>
      </c>
      <c r="I195" t="str">
        <f t="shared" si="112"/>
        <v/>
      </c>
      <c r="J195">
        <v>0</v>
      </c>
      <c r="K195">
        <v>0</v>
      </c>
      <c r="L195">
        <f t="shared" si="113"/>
        <v>0</v>
      </c>
      <c r="M195" t="str">
        <f t="shared" si="114"/>
        <v/>
      </c>
      <c r="N195">
        <v>0</v>
      </c>
      <c r="O195">
        <v>0</v>
      </c>
      <c r="P195">
        <f t="shared" si="115"/>
        <v>0</v>
      </c>
      <c r="Q195">
        <v>0</v>
      </c>
      <c r="R195">
        <v>0</v>
      </c>
      <c r="S195">
        <f t="shared" si="116"/>
        <v>0</v>
      </c>
      <c r="T195">
        <f t="shared" si="117"/>
        <v>0</v>
      </c>
      <c r="U195">
        <f t="shared" si="118"/>
        <v>0</v>
      </c>
      <c r="V195">
        <f t="shared" si="119"/>
        <v>0</v>
      </c>
    </row>
    <row r="196" spans="1:22" x14ac:dyDescent="0.25">
      <c r="A196" t="s">
        <v>191</v>
      </c>
      <c r="B196">
        <v>0</v>
      </c>
      <c r="C196">
        <v>0</v>
      </c>
      <c r="D196">
        <f t="shared" si="109"/>
        <v>0</v>
      </c>
      <c r="E196">
        <f t="shared" si="110"/>
        <v>0</v>
      </c>
      <c r="F196">
        <v>0</v>
      </c>
      <c r="G196">
        <v>7</v>
      </c>
      <c r="H196">
        <f t="shared" si="111"/>
        <v>7</v>
      </c>
      <c r="I196">
        <f t="shared" si="112"/>
        <v>70</v>
      </c>
      <c r="J196">
        <v>0</v>
      </c>
      <c r="K196">
        <v>3</v>
      </c>
      <c r="L196">
        <f t="shared" si="113"/>
        <v>3</v>
      </c>
      <c r="M196">
        <f t="shared" si="114"/>
        <v>30</v>
      </c>
      <c r="N196">
        <v>0</v>
      </c>
      <c r="O196">
        <v>0</v>
      </c>
      <c r="P196">
        <f t="shared" si="115"/>
        <v>0</v>
      </c>
      <c r="Q196">
        <v>0</v>
      </c>
      <c r="R196">
        <v>1</v>
      </c>
      <c r="S196">
        <f t="shared" si="116"/>
        <v>1</v>
      </c>
      <c r="T196">
        <f t="shared" si="117"/>
        <v>0</v>
      </c>
      <c r="U196">
        <f t="shared" si="118"/>
        <v>10</v>
      </c>
      <c r="V196">
        <f t="shared" si="119"/>
        <v>10</v>
      </c>
    </row>
    <row r="197" spans="1:22" x14ac:dyDescent="0.25">
      <c r="A197" t="s">
        <v>192</v>
      </c>
      <c r="B197">
        <v>3</v>
      </c>
      <c r="C197">
        <v>5</v>
      </c>
      <c r="D197">
        <f t="shared" si="109"/>
        <v>8</v>
      </c>
      <c r="E197">
        <f t="shared" si="110"/>
        <v>20</v>
      </c>
      <c r="F197">
        <v>2</v>
      </c>
      <c r="G197">
        <v>17</v>
      </c>
      <c r="H197">
        <f t="shared" si="111"/>
        <v>19</v>
      </c>
      <c r="I197">
        <f t="shared" si="112"/>
        <v>47.5</v>
      </c>
      <c r="J197">
        <v>2</v>
      </c>
      <c r="K197">
        <v>11</v>
      </c>
      <c r="L197">
        <f t="shared" si="113"/>
        <v>13</v>
      </c>
      <c r="M197">
        <f t="shared" si="114"/>
        <v>32.5</v>
      </c>
      <c r="N197">
        <v>0</v>
      </c>
      <c r="O197">
        <v>1</v>
      </c>
      <c r="P197">
        <f t="shared" si="115"/>
        <v>1</v>
      </c>
      <c r="Q197">
        <v>4</v>
      </c>
      <c r="R197">
        <v>6</v>
      </c>
      <c r="S197">
        <f t="shared" si="116"/>
        <v>10</v>
      </c>
      <c r="T197">
        <f t="shared" si="117"/>
        <v>7</v>
      </c>
      <c r="U197">
        <f t="shared" si="118"/>
        <v>33</v>
      </c>
      <c r="V197">
        <f t="shared" si="119"/>
        <v>40</v>
      </c>
    </row>
    <row r="198" spans="1:22" x14ac:dyDescent="0.25">
      <c r="A198" t="s">
        <v>193</v>
      </c>
      <c r="B198">
        <v>0</v>
      </c>
      <c r="C198">
        <v>6</v>
      </c>
      <c r="D198">
        <f t="shared" si="109"/>
        <v>6</v>
      </c>
      <c r="E198">
        <f t="shared" si="110"/>
        <v>4.7244000000000002</v>
      </c>
      <c r="F198">
        <v>1</v>
      </c>
      <c r="G198">
        <v>74</v>
      </c>
      <c r="H198">
        <f t="shared" si="111"/>
        <v>75</v>
      </c>
      <c r="I198">
        <f t="shared" si="112"/>
        <v>59.055100000000003</v>
      </c>
      <c r="J198">
        <v>0</v>
      </c>
      <c r="K198">
        <v>46</v>
      </c>
      <c r="L198">
        <f t="shared" si="113"/>
        <v>46</v>
      </c>
      <c r="M198">
        <f t="shared" si="114"/>
        <v>36.220500000000001</v>
      </c>
      <c r="N198">
        <v>0</v>
      </c>
      <c r="O198">
        <v>3</v>
      </c>
      <c r="P198">
        <f t="shared" si="115"/>
        <v>3</v>
      </c>
      <c r="Q198">
        <v>0</v>
      </c>
      <c r="R198">
        <v>69</v>
      </c>
      <c r="S198">
        <f t="shared" si="116"/>
        <v>69</v>
      </c>
      <c r="T198">
        <f t="shared" si="117"/>
        <v>1</v>
      </c>
      <c r="U198">
        <f t="shared" si="118"/>
        <v>126</v>
      </c>
      <c r="V198">
        <f t="shared" si="119"/>
        <v>127</v>
      </c>
    </row>
    <row r="199" spans="1:22" x14ac:dyDescent="0.25">
      <c r="A199" t="s">
        <v>194</v>
      </c>
      <c r="B199">
        <v>0</v>
      </c>
      <c r="C199">
        <v>0</v>
      </c>
      <c r="D199">
        <f t="shared" si="109"/>
        <v>0</v>
      </c>
      <c r="E199">
        <f t="shared" si="110"/>
        <v>0</v>
      </c>
      <c r="F199">
        <v>0</v>
      </c>
      <c r="G199">
        <v>1</v>
      </c>
      <c r="H199">
        <f t="shared" si="111"/>
        <v>1</v>
      </c>
      <c r="I199">
        <f t="shared" si="112"/>
        <v>100</v>
      </c>
      <c r="J199">
        <v>0</v>
      </c>
      <c r="K199">
        <v>0</v>
      </c>
      <c r="L199">
        <f t="shared" si="113"/>
        <v>0</v>
      </c>
      <c r="M199">
        <f t="shared" si="114"/>
        <v>0</v>
      </c>
      <c r="N199">
        <v>0</v>
      </c>
      <c r="O199">
        <v>0</v>
      </c>
      <c r="P199">
        <f t="shared" si="115"/>
        <v>0</v>
      </c>
      <c r="Q199">
        <v>0</v>
      </c>
      <c r="R199">
        <v>1</v>
      </c>
      <c r="S199">
        <f t="shared" si="116"/>
        <v>1</v>
      </c>
      <c r="T199">
        <f t="shared" si="117"/>
        <v>0</v>
      </c>
      <c r="U199">
        <f t="shared" si="118"/>
        <v>1</v>
      </c>
      <c r="V199">
        <f t="shared" si="119"/>
        <v>1</v>
      </c>
    </row>
    <row r="200" spans="1:22" x14ac:dyDescent="0.25">
      <c r="A200" t="s">
        <v>195</v>
      </c>
      <c r="B200">
        <v>0</v>
      </c>
      <c r="C200">
        <v>17</v>
      </c>
      <c r="D200">
        <f t="shared" si="109"/>
        <v>17</v>
      </c>
      <c r="E200">
        <f t="shared" si="110"/>
        <v>19.318200000000001</v>
      </c>
      <c r="F200">
        <v>0</v>
      </c>
      <c r="G200">
        <v>63</v>
      </c>
      <c r="H200">
        <f t="shared" si="111"/>
        <v>63</v>
      </c>
      <c r="I200">
        <f t="shared" si="112"/>
        <v>71.590900000000005</v>
      </c>
      <c r="J200">
        <v>0</v>
      </c>
      <c r="K200">
        <v>8</v>
      </c>
      <c r="L200">
        <f t="shared" si="113"/>
        <v>8</v>
      </c>
      <c r="M200">
        <f t="shared" si="114"/>
        <v>9.0908999999999995</v>
      </c>
      <c r="N200">
        <v>0</v>
      </c>
      <c r="O200">
        <v>0</v>
      </c>
      <c r="P200">
        <f t="shared" si="115"/>
        <v>0</v>
      </c>
      <c r="Q200">
        <v>0</v>
      </c>
      <c r="R200">
        <v>52</v>
      </c>
      <c r="S200">
        <f t="shared" si="116"/>
        <v>52</v>
      </c>
      <c r="T200">
        <f t="shared" si="117"/>
        <v>0</v>
      </c>
      <c r="U200">
        <f t="shared" si="118"/>
        <v>88</v>
      </c>
      <c r="V200">
        <f t="shared" si="119"/>
        <v>88</v>
      </c>
    </row>
    <row r="201" spans="1:22" x14ac:dyDescent="0.25">
      <c r="A201" t="s">
        <v>196</v>
      </c>
      <c r="B201">
        <v>0</v>
      </c>
      <c r="C201">
        <v>0</v>
      </c>
      <c r="D201">
        <f t="shared" si="109"/>
        <v>0</v>
      </c>
      <c r="E201">
        <f t="shared" si="110"/>
        <v>0</v>
      </c>
      <c r="F201">
        <v>0</v>
      </c>
      <c r="G201">
        <v>10</v>
      </c>
      <c r="H201">
        <f t="shared" si="111"/>
        <v>10</v>
      </c>
      <c r="I201">
        <f t="shared" si="112"/>
        <v>66.666700000000006</v>
      </c>
      <c r="J201">
        <v>0</v>
      </c>
      <c r="K201">
        <v>5</v>
      </c>
      <c r="L201">
        <f t="shared" si="113"/>
        <v>5</v>
      </c>
      <c r="M201">
        <f t="shared" si="114"/>
        <v>33.333300000000001</v>
      </c>
      <c r="N201">
        <v>0</v>
      </c>
      <c r="O201">
        <v>6</v>
      </c>
      <c r="P201">
        <f t="shared" si="115"/>
        <v>6</v>
      </c>
      <c r="Q201">
        <v>0</v>
      </c>
      <c r="R201">
        <v>1</v>
      </c>
      <c r="S201">
        <f t="shared" si="116"/>
        <v>1</v>
      </c>
      <c r="T201">
        <f t="shared" si="117"/>
        <v>0</v>
      </c>
      <c r="U201">
        <f t="shared" si="118"/>
        <v>15</v>
      </c>
      <c r="V201">
        <f t="shared" si="119"/>
        <v>15</v>
      </c>
    </row>
    <row r="202" spans="1:22" x14ac:dyDescent="0.25">
      <c r="A202" t="s">
        <v>197</v>
      </c>
      <c r="B202">
        <v>0</v>
      </c>
      <c r="C202">
        <v>1</v>
      </c>
      <c r="D202">
        <f t="shared" si="109"/>
        <v>1</v>
      </c>
      <c r="E202">
        <f t="shared" si="110"/>
        <v>5.2632000000000003</v>
      </c>
      <c r="F202">
        <v>0</v>
      </c>
      <c r="G202">
        <v>15</v>
      </c>
      <c r="H202">
        <f t="shared" si="111"/>
        <v>15</v>
      </c>
      <c r="I202">
        <f t="shared" si="112"/>
        <v>78.947400000000002</v>
      </c>
      <c r="J202">
        <v>0</v>
      </c>
      <c r="K202">
        <v>3</v>
      </c>
      <c r="L202">
        <f t="shared" si="113"/>
        <v>3</v>
      </c>
      <c r="M202">
        <f t="shared" si="114"/>
        <v>15.7895</v>
      </c>
      <c r="N202">
        <v>0</v>
      </c>
      <c r="O202">
        <v>0</v>
      </c>
      <c r="P202">
        <f t="shared" si="115"/>
        <v>0</v>
      </c>
      <c r="Q202">
        <v>0</v>
      </c>
      <c r="R202">
        <v>1</v>
      </c>
      <c r="S202">
        <f t="shared" si="116"/>
        <v>1</v>
      </c>
      <c r="T202">
        <f t="shared" si="117"/>
        <v>0</v>
      </c>
      <c r="U202">
        <f t="shared" si="118"/>
        <v>19</v>
      </c>
      <c r="V202">
        <f t="shared" si="119"/>
        <v>19</v>
      </c>
    </row>
    <row r="203" spans="1:22" x14ac:dyDescent="0.25">
      <c r="A203" t="s">
        <v>198</v>
      </c>
      <c r="B203">
        <v>0</v>
      </c>
      <c r="C203">
        <v>0</v>
      </c>
      <c r="D203">
        <f t="shared" si="109"/>
        <v>0</v>
      </c>
      <c r="E203" t="str">
        <f t="shared" si="110"/>
        <v/>
      </c>
      <c r="F203">
        <v>0</v>
      </c>
      <c r="G203">
        <v>0</v>
      </c>
      <c r="H203">
        <f t="shared" si="111"/>
        <v>0</v>
      </c>
      <c r="I203" t="str">
        <f t="shared" si="112"/>
        <v/>
      </c>
      <c r="J203">
        <v>0</v>
      </c>
      <c r="K203">
        <v>0</v>
      </c>
      <c r="L203">
        <f t="shared" si="113"/>
        <v>0</v>
      </c>
      <c r="M203" t="str">
        <f t="shared" si="114"/>
        <v/>
      </c>
      <c r="N203">
        <v>0</v>
      </c>
      <c r="O203">
        <v>0</v>
      </c>
      <c r="P203">
        <f t="shared" si="115"/>
        <v>0</v>
      </c>
      <c r="Q203">
        <v>0</v>
      </c>
      <c r="R203">
        <v>0</v>
      </c>
      <c r="S203">
        <f t="shared" si="116"/>
        <v>0</v>
      </c>
      <c r="T203">
        <f t="shared" si="117"/>
        <v>0</v>
      </c>
      <c r="U203">
        <f t="shared" si="118"/>
        <v>0</v>
      </c>
      <c r="V203">
        <f t="shared" si="119"/>
        <v>0</v>
      </c>
    </row>
    <row r="204" spans="1:22" x14ac:dyDescent="0.25">
      <c r="A204" t="s">
        <v>199</v>
      </c>
      <c r="B204">
        <v>0</v>
      </c>
      <c r="C204">
        <v>1</v>
      </c>
      <c r="D204">
        <f t="shared" si="109"/>
        <v>1</v>
      </c>
      <c r="E204">
        <f t="shared" si="110"/>
        <v>5.2632000000000003</v>
      </c>
      <c r="F204">
        <v>0</v>
      </c>
      <c r="G204">
        <v>14</v>
      </c>
      <c r="H204">
        <f t="shared" si="111"/>
        <v>14</v>
      </c>
      <c r="I204">
        <f t="shared" si="112"/>
        <v>73.684200000000004</v>
      </c>
      <c r="J204">
        <v>0</v>
      </c>
      <c r="K204">
        <v>4</v>
      </c>
      <c r="L204">
        <f t="shared" si="113"/>
        <v>4</v>
      </c>
      <c r="M204">
        <f t="shared" si="114"/>
        <v>21.052600000000002</v>
      </c>
      <c r="N204">
        <v>0</v>
      </c>
      <c r="O204">
        <v>0</v>
      </c>
      <c r="P204">
        <f t="shared" si="115"/>
        <v>0</v>
      </c>
      <c r="Q204">
        <v>1</v>
      </c>
      <c r="R204">
        <v>2</v>
      </c>
      <c r="S204">
        <f t="shared" si="116"/>
        <v>3</v>
      </c>
      <c r="T204">
        <f t="shared" si="117"/>
        <v>0</v>
      </c>
      <c r="U204">
        <f t="shared" si="118"/>
        <v>19</v>
      </c>
      <c r="V204">
        <f t="shared" si="119"/>
        <v>19</v>
      </c>
    </row>
    <row r="205" spans="1:22" x14ac:dyDescent="0.25">
      <c r="A205" t="s">
        <v>200</v>
      </c>
      <c r="B205">
        <v>0</v>
      </c>
      <c r="C205">
        <v>1</v>
      </c>
      <c r="D205">
        <f t="shared" si="109"/>
        <v>1</v>
      </c>
      <c r="E205">
        <f t="shared" si="110"/>
        <v>9.0908999999999995</v>
      </c>
      <c r="F205">
        <v>0</v>
      </c>
      <c r="G205">
        <v>9</v>
      </c>
      <c r="H205">
        <f t="shared" si="111"/>
        <v>9</v>
      </c>
      <c r="I205">
        <f t="shared" si="112"/>
        <v>81.818200000000004</v>
      </c>
      <c r="J205">
        <v>0</v>
      </c>
      <c r="K205">
        <v>1</v>
      </c>
      <c r="L205">
        <f t="shared" si="113"/>
        <v>1</v>
      </c>
      <c r="M205">
        <f t="shared" si="114"/>
        <v>9.0908999999999995</v>
      </c>
      <c r="N205">
        <v>0</v>
      </c>
      <c r="O205">
        <v>0</v>
      </c>
      <c r="P205">
        <f t="shared" si="115"/>
        <v>0</v>
      </c>
      <c r="Q205">
        <v>0</v>
      </c>
      <c r="R205">
        <v>2</v>
      </c>
      <c r="S205">
        <f t="shared" si="116"/>
        <v>2</v>
      </c>
      <c r="T205">
        <f t="shared" si="117"/>
        <v>0</v>
      </c>
      <c r="U205">
        <f t="shared" si="118"/>
        <v>11</v>
      </c>
      <c r="V205">
        <f t="shared" si="119"/>
        <v>11</v>
      </c>
    </row>
    <row r="206" spans="1:22" x14ac:dyDescent="0.25">
      <c r="A206" t="s">
        <v>201</v>
      </c>
      <c r="B206">
        <v>0</v>
      </c>
      <c r="C206">
        <v>0</v>
      </c>
      <c r="D206">
        <f t="shared" si="109"/>
        <v>0</v>
      </c>
      <c r="E206">
        <f t="shared" si="110"/>
        <v>0</v>
      </c>
      <c r="F206">
        <v>0</v>
      </c>
      <c r="G206">
        <v>1</v>
      </c>
      <c r="H206">
        <f t="shared" si="111"/>
        <v>1</v>
      </c>
      <c r="I206">
        <f t="shared" si="112"/>
        <v>50</v>
      </c>
      <c r="J206">
        <v>0</v>
      </c>
      <c r="K206">
        <v>1</v>
      </c>
      <c r="L206">
        <f t="shared" si="113"/>
        <v>1</v>
      </c>
      <c r="M206">
        <f t="shared" si="114"/>
        <v>50</v>
      </c>
      <c r="N206">
        <v>0</v>
      </c>
      <c r="O206">
        <v>0</v>
      </c>
      <c r="P206">
        <f t="shared" si="115"/>
        <v>0</v>
      </c>
      <c r="Q206">
        <v>0</v>
      </c>
      <c r="R206">
        <v>1</v>
      </c>
      <c r="S206">
        <f t="shared" si="116"/>
        <v>1</v>
      </c>
      <c r="T206">
        <f t="shared" si="117"/>
        <v>0</v>
      </c>
      <c r="U206">
        <f t="shared" si="118"/>
        <v>2</v>
      </c>
      <c r="V206">
        <f t="shared" si="119"/>
        <v>2</v>
      </c>
    </row>
    <row r="207" spans="1:22" x14ac:dyDescent="0.25">
      <c r="A207" t="s">
        <v>202</v>
      </c>
      <c r="B207">
        <v>0</v>
      </c>
      <c r="C207">
        <v>0</v>
      </c>
      <c r="D207">
        <f t="shared" si="109"/>
        <v>0</v>
      </c>
      <c r="E207" t="str">
        <f t="shared" si="110"/>
        <v/>
      </c>
      <c r="F207">
        <v>0</v>
      </c>
      <c r="G207">
        <v>0</v>
      </c>
      <c r="H207">
        <f t="shared" si="111"/>
        <v>0</v>
      </c>
      <c r="I207" t="str">
        <f t="shared" si="112"/>
        <v/>
      </c>
      <c r="J207">
        <v>0</v>
      </c>
      <c r="K207">
        <v>0</v>
      </c>
      <c r="L207">
        <f t="shared" si="113"/>
        <v>0</v>
      </c>
      <c r="M207" t="str">
        <f t="shared" si="114"/>
        <v/>
      </c>
      <c r="N207">
        <v>0</v>
      </c>
      <c r="O207">
        <v>0</v>
      </c>
      <c r="P207">
        <f t="shared" si="115"/>
        <v>0</v>
      </c>
      <c r="Q207">
        <v>0</v>
      </c>
      <c r="R207">
        <v>0</v>
      </c>
      <c r="S207">
        <f t="shared" si="116"/>
        <v>0</v>
      </c>
      <c r="T207">
        <f t="shared" si="117"/>
        <v>0</v>
      </c>
      <c r="U207">
        <f t="shared" si="118"/>
        <v>0</v>
      </c>
      <c r="V207">
        <f t="shared" si="119"/>
        <v>0</v>
      </c>
    </row>
    <row r="209" spans="1:22" x14ac:dyDescent="0.25">
      <c r="A209" s="8" t="s">
        <v>203</v>
      </c>
      <c r="B209" s="8" t="s">
        <v>203</v>
      </c>
      <c r="C209" s="8" t="s">
        <v>203</v>
      </c>
      <c r="D209" s="8" t="s">
        <v>203</v>
      </c>
      <c r="E209" s="8" t="s">
        <v>203</v>
      </c>
      <c r="F209" s="8" t="s">
        <v>203</v>
      </c>
      <c r="G209" s="8" t="s">
        <v>203</v>
      </c>
      <c r="H209" s="8" t="s">
        <v>203</v>
      </c>
      <c r="I209" s="8" t="s">
        <v>203</v>
      </c>
      <c r="J209" s="8" t="s">
        <v>203</v>
      </c>
      <c r="K209" s="8" t="s">
        <v>203</v>
      </c>
      <c r="L209" s="8" t="s">
        <v>203</v>
      </c>
      <c r="M209" s="8" t="s">
        <v>203</v>
      </c>
      <c r="N209" s="8" t="s">
        <v>203</v>
      </c>
      <c r="O209" s="8" t="s">
        <v>203</v>
      </c>
      <c r="P209" s="8" t="s">
        <v>203</v>
      </c>
      <c r="Q209" s="8" t="s">
        <v>203</v>
      </c>
      <c r="R209" s="8" t="s">
        <v>203</v>
      </c>
      <c r="S209" s="8" t="s">
        <v>203</v>
      </c>
      <c r="T209" s="8" t="s">
        <v>203</v>
      </c>
      <c r="U209" s="8" t="s">
        <v>203</v>
      </c>
      <c r="V209" s="8" t="s">
        <v>203</v>
      </c>
    </row>
    <row r="210" spans="1:22" x14ac:dyDescent="0.25">
      <c r="A210" t="s">
        <v>204</v>
      </c>
      <c r="B210">
        <v>1</v>
      </c>
      <c r="C210">
        <v>15</v>
      </c>
      <c r="D210">
        <f t="shared" ref="D210:D251" si="120">B210+C210</f>
        <v>16</v>
      </c>
      <c r="E210">
        <f t="shared" ref="E210:E251" si="121">IF(V210&gt;0,ROUND((D210/V210) * 100, 4), "")</f>
        <v>23.188400000000001</v>
      </c>
      <c r="F210">
        <v>11</v>
      </c>
      <c r="G210">
        <v>23</v>
      </c>
      <c r="H210">
        <f t="shared" ref="H210:H251" si="122">F210+G210</f>
        <v>34</v>
      </c>
      <c r="I210">
        <f t="shared" ref="I210:I251" si="123">IF(V210&gt;0,ROUND((H210/V210) * 100, 4), "")</f>
        <v>49.275399999999998</v>
      </c>
      <c r="J210">
        <v>1</v>
      </c>
      <c r="K210">
        <v>18</v>
      </c>
      <c r="L210">
        <f t="shared" ref="L210:L251" si="124">J210+K210</f>
        <v>19</v>
      </c>
      <c r="M210">
        <f t="shared" ref="M210:M251" si="125">IF(V210&gt;0,ROUND((L210/V210) * 100, 4), "")</f>
        <v>27.536200000000001</v>
      </c>
      <c r="N210">
        <v>0</v>
      </c>
      <c r="O210">
        <v>1</v>
      </c>
      <c r="P210">
        <f t="shared" ref="P210:P251" si="126">N210+O210</f>
        <v>1</v>
      </c>
      <c r="Q210">
        <v>0</v>
      </c>
      <c r="R210">
        <v>8</v>
      </c>
      <c r="S210">
        <f t="shared" ref="S210:S251" si="127">Q210+R210</f>
        <v>8</v>
      </c>
      <c r="T210">
        <f t="shared" ref="T210:T251" si="128">B210+F210+J210</f>
        <v>13</v>
      </c>
      <c r="U210">
        <f t="shared" ref="U210:U251" si="129">C210+G210+K210</f>
        <v>56</v>
      </c>
      <c r="V210">
        <f t="shared" ref="V210:V251" si="130">T210+U210</f>
        <v>69</v>
      </c>
    </row>
    <row r="211" spans="1:22" x14ac:dyDescent="0.25">
      <c r="A211" t="s">
        <v>205</v>
      </c>
      <c r="B211">
        <v>0</v>
      </c>
      <c r="C211">
        <v>0</v>
      </c>
      <c r="D211">
        <f t="shared" si="120"/>
        <v>0</v>
      </c>
      <c r="E211" t="str">
        <f t="shared" si="121"/>
        <v/>
      </c>
      <c r="F211">
        <v>0</v>
      </c>
      <c r="G211">
        <v>0</v>
      </c>
      <c r="H211">
        <f t="shared" si="122"/>
        <v>0</v>
      </c>
      <c r="I211" t="str">
        <f t="shared" si="123"/>
        <v/>
      </c>
      <c r="J211">
        <v>0</v>
      </c>
      <c r="K211">
        <v>0</v>
      </c>
      <c r="L211">
        <f t="shared" si="124"/>
        <v>0</v>
      </c>
      <c r="M211" t="str">
        <f t="shared" si="125"/>
        <v/>
      </c>
      <c r="N211">
        <v>0</v>
      </c>
      <c r="O211">
        <v>0</v>
      </c>
      <c r="P211">
        <f t="shared" si="126"/>
        <v>0</v>
      </c>
      <c r="Q211">
        <v>0</v>
      </c>
      <c r="R211">
        <v>0</v>
      </c>
      <c r="S211">
        <f t="shared" si="127"/>
        <v>0</v>
      </c>
      <c r="T211">
        <f t="shared" si="128"/>
        <v>0</v>
      </c>
      <c r="U211">
        <f t="shared" si="129"/>
        <v>0</v>
      </c>
      <c r="V211">
        <f t="shared" si="130"/>
        <v>0</v>
      </c>
    </row>
    <row r="212" spans="1:22" x14ac:dyDescent="0.25">
      <c r="A212" t="s">
        <v>206</v>
      </c>
      <c r="B212">
        <v>0</v>
      </c>
      <c r="C212">
        <v>0</v>
      </c>
      <c r="D212">
        <f t="shared" si="120"/>
        <v>0</v>
      </c>
      <c r="E212" t="str">
        <f t="shared" si="121"/>
        <v/>
      </c>
      <c r="F212">
        <v>0</v>
      </c>
      <c r="G212">
        <v>0</v>
      </c>
      <c r="H212">
        <f t="shared" si="122"/>
        <v>0</v>
      </c>
      <c r="I212" t="str">
        <f t="shared" si="123"/>
        <v/>
      </c>
      <c r="J212">
        <v>0</v>
      </c>
      <c r="K212">
        <v>0</v>
      </c>
      <c r="L212">
        <f t="shared" si="124"/>
        <v>0</v>
      </c>
      <c r="M212" t="str">
        <f t="shared" si="125"/>
        <v/>
      </c>
      <c r="N212">
        <v>0</v>
      </c>
      <c r="O212">
        <v>0</v>
      </c>
      <c r="P212">
        <f t="shared" si="126"/>
        <v>0</v>
      </c>
      <c r="Q212">
        <v>0</v>
      </c>
      <c r="R212">
        <v>0</v>
      </c>
      <c r="S212">
        <f t="shared" si="127"/>
        <v>0</v>
      </c>
      <c r="T212">
        <f t="shared" si="128"/>
        <v>0</v>
      </c>
      <c r="U212">
        <f t="shared" si="129"/>
        <v>0</v>
      </c>
      <c r="V212">
        <f t="shared" si="130"/>
        <v>0</v>
      </c>
    </row>
    <row r="213" spans="1:22" x14ac:dyDescent="0.25">
      <c r="A213" t="s">
        <v>207</v>
      </c>
      <c r="B213">
        <v>0</v>
      </c>
      <c r="C213">
        <v>11</v>
      </c>
      <c r="D213">
        <f t="shared" si="120"/>
        <v>11</v>
      </c>
      <c r="E213">
        <f t="shared" si="121"/>
        <v>17.4603</v>
      </c>
      <c r="F213">
        <v>0</v>
      </c>
      <c r="G213">
        <v>22</v>
      </c>
      <c r="H213">
        <f t="shared" si="122"/>
        <v>22</v>
      </c>
      <c r="I213">
        <f t="shared" si="123"/>
        <v>34.9206</v>
      </c>
      <c r="J213">
        <v>0</v>
      </c>
      <c r="K213">
        <v>30</v>
      </c>
      <c r="L213">
        <f t="shared" si="124"/>
        <v>30</v>
      </c>
      <c r="M213">
        <f t="shared" si="125"/>
        <v>47.619</v>
      </c>
      <c r="N213">
        <v>0</v>
      </c>
      <c r="O213">
        <v>0</v>
      </c>
      <c r="P213">
        <f t="shared" si="126"/>
        <v>0</v>
      </c>
      <c r="Q213">
        <v>0</v>
      </c>
      <c r="R213">
        <v>48</v>
      </c>
      <c r="S213">
        <f t="shared" si="127"/>
        <v>48</v>
      </c>
      <c r="T213">
        <f t="shared" si="128"/>
        <v>0</v>
      </c>
      <c r="U213">
        <f t="shared" si="129"/>
        <v>63</v>
      </c>
      <c r="V213">
        <f t="shared" si="130"/>
        <v>63</v>
      </c>
    </row>
    <row r="214" spans="1:22" x14ac:dyDescent="0.25">
      <c r="A214" t="s">
        <v>208</v>
      </c>
      <c r="B214">
        <v>2</v>
      </c>
      <c r="C214">
        <v>2</v>
      </c>
      <c r="D214">
        <f t="shared" si="120"/>
        <v>4</v>
      </c>
      <c r="E214">
        <f t="shared" si="121"/>
        <v>5.7142999999999997</v>
      </c>
      <c r="F214">
        <v>0</v>
      </c>
      <c r="G214">
        <v>30</v>
      </c>
      <c r="H214">
        <f t="shared" si="122"/>
        <v>30</v>
      </c>
      <c r="I214">
        <f t="shared" si="123"/>
        <v>42.857100000000003</v>
      </c>
      <c r="J214">
        <v>0</v>
      </c>
      <c r="K214">
        <v>36</v>
      </c>
      <c r="L214">
        <f t="shared" si="124"/>
        <v>36</v>
      </c>
      <c r="M214">
        <f t="shared" si="125"/>
        <v>51.428600000000003</v>
      </c>
      <c r="N214">
        <v>0</v>
      </c>
      <c r="O214">
        <v>0</v>
      </c>
      <c r="P214">
        <f t="shared" si="126"/>
        <v>0</v>
      </c>
      <c r="Q214">
        <v>0</v>
      </c>
      <c r="R214">
        <v>8</v>
      </c>
      <c r="S214">
        <f t="shared" si="127"/>
        <v>8</v>
      </c>
      <c r="T214">
        <f t="shared" si="128"/>
        <v>2</v>
      </c>
      <c r="U214">
        <f t="shared" si="129"/>
        <v>68</v>
      </c>
      <c r="V214">
        <f t="shared" si="130"/>
        <v>70</v>
      </c>
    </row>
    <row r="215" spans="1:22" x14ac:dyDescent="0.25">
      <c r="A215" t="s">
        <v>209</v>
      </c>
      <c r="B215">
        <v>0</v>
      </c>
      <c r="C215">
        <v>0</v>
      </c>
      <c r="D215">
        <f t="shared" si="120"/>
        <v>0</v>
      </c>
      <c r="E215">
        <f t="shared" si="121"/>
        <v>0</v>
      </c>
      <c r="F215">
        <v>0</v>
      </c>
      <c r="G215">
        <v>2</v>
      </c>
      <c r="H215">
        <f t="shared" si="122"/>
        <v>2</v>
      </c>
      <c r="I215">
        <f t="shared" si="123"/>
        <v>100</v>
      </c>
      <c r="J215">
        <v>0</v>
      </c>
      <c r="K215">
        <v>0</v>
      </c>
      <c r="L215">
        <f t="shared" si="124"/>
        <v>0</v>
      </c>
      <c r="M215">
        <f t="shared" si="125"/>
        <v>0</v>
      </c>
      <c r="N215">
        <v>0</v>
      </c>
      <c r="O215">
        <v>0</v>
      </c>
      <c r="P215">
        <f t="shared" si="126"/>
        <v>0</v>
      </c>
      <c r="Q215">
        <v>0</v>
      </c>
      <c r="R215">
        <v>3</v>
      </c>
      <c r="S215">
        <f t="shared" si="127"/>
        <v>3</v>
      </c>
      <c r="T215">
        <f t="shared" si="128"/>
        <v>0</v>
      </c>
      <c r="U215">
        <f t="shared" si="129"/>
        <v>2</v>
      </c>
      <c r="V215">
        <f t="shared" si="130"/>
        <v>2</v>
      </c>
    </row>
    <row r="216" spans="1:22" x14ac:dyDescent="0.25">
      <c r="A216" t="s">
        <v>210</v>
      </c>
      <c r="B216">
        <v>0</v>
      </c>
      <c r="C216">
        <v>13</v>
      </c>
      <c r="D216">
        <f t="shared" si="120"/>
        <v>13</v>
      </c>
      <c r="E216">
        <f t="shared" si="121"/>
        <v>14.942500000000001</v>
      </c>
      <c r="F216">
        <v>0</v>
      </c>
      <c r="G216">
        <v>61</v>
      </c>
      <c r="H216">
        <f t="shared" si="122"/>
        <v>61</v>
      </c>
      <c r="I216">
        <f t="shared" si="123"/>
        <v>70.114900000000006</v>
      </c>
      <c r="J216">
        <v>0</v>
      </c>
      <c r="K216">
        <v>13</v>
      </c>
      <c r="L216">
        <f t="shared" si="124"/>
        <v>13</v>
      </c>
      <c r="M216">
        <f t="shared" si="125"/>
        <v>14.942500000000001</v>
      </c>
      <c r="N216">
        <v>0</v>
      </c>
      <c r="O216">
        <v>0</v>
      </c>
      <c r="P216">
        <f t="shared" si="126"/>
        <v>0</v>
      </c>
      <c r="Q216">
        <v>0</v>
      </c>
      <c r="R216">
        <v>10</v>
      </c>
      <c r="S216">
        <f t="shared" si="127"/>
        <v>10</v>
      </c>
      <c r="T216">
        <f t="shared" si="128"/>
        <v>0</v>
      </c>
      <c r="U216">
        <f t="shared" si="129"/>
        <v>87</v>
      </c>
      <c r="V216">
        <f t="shared" si="130"/>
        <v>87</v>
      </c>
    </row>
    <row r="217" spans="1:22" x14ac:dyDescent="0.25">
      <c r="A217" t="s">
        <v>211</v>
      </c>
      <c r="B217">
        <v>0</v>
      </c>
      <c r="C217">
        <v>0</v>
      </c>
      <c r="D217">
        <f t="shared" si="120"/>
        <v>0</v>
      </c>
      <c r="E217">
        <f t="shared" si="121"/>
        <v>0</v>
      </c>
      <c r="F217">
        <v>1</v>
      </c>
      <c r="G217">
        <v>0</v>
      </c>
      <c r="H217">
        <f t="shared" si="122"/>
        <v>1</v>
      </c>
      <c r="I217">
        <f t="shared" si="123"/>
        <v>100</v>
      </c>
      <c r="J217">
        <v>0</v>
      </c>
      <c r="K217">
        <v>0</v>
      </c>
      <c r="L217">
        <f t="shared" si="124"/>
        <v>0</v>
      </c>
      <c r="M217">
        <f t="shared" si="125"/>
        <v>0</v>
      </c>
      <c r="N217">
        <v>0</v>
      </c>
      <c r="O217">
        <v>0</v>
      </c>
      <c r="P217">
        <f t="shared" si="126"/>
        <v>0</v>
      </c>
      <c r="Q217">
        <v>0</v>
      </c>
      <c r="R217">
        <v>0</v>
      </c>
      <c r="S217">
        <f t="shared" si="127"/>
        <v>0</v>
      </c>
      <c r="T217">
        <f t="shared" si="128"/>
        <v>1</v>
      </c>
      <c r="U217">
        <f t="shared" si="129"/>
        <v>0</v>
      </c>
      <c r="V217">
        <f t="shared" si="130"/>
        <v>1</v>
      </c>
    </row>
    <row r="218" spans="1:22" x14ac:dyDescent="0.25">
      <c r="A218" t="s">
        <v>212</v>
      </c>
      <c r="B218">
        <v>0</v>
      </c>
      <c r="C218">
        <v>3</v>
      </c>
      <c r="D218">
        <f t="shared" si="120"/>
        <v>3</v>
      </c>
      <c r="E218">
        <f t="shared" si="121"/>
        <v>4.8387000000000002</v>
      </c>
      <c r="F218">
        <v>4</v>
      </c>
      <c r="G218">
        <v>1</v>
      </c>
      <c r="H218">
        <f t="shared" si="122"/>
        <v>5</v>
      </c>
      <c r="I218">
        <f t="shared" si="123"/>
        <v>8.0645000000000007</v>
      </c>
      <c r="J218">
        <v>10</v>
      </c>
      <c r="K218">
        <v>44</v>
      </c>
      <c r="L218">
        <f t="shared" si="124"/>
        <v>54</v>
      </c>
      <c r="M218">
        <f t="shared" si="125"/>
        <v>87.096800000000002</v>
      </c>
      <c r="N218">
        <v>0</v>
      </c>
      <c r="O218">
        <v>0</v>
      </c>
      <c r="P218">
        <f t="shared" si="126"/>
        <v>0</v>
      </c>
      <c r="Q218">
        <v>4</v>
      </c>
      <c r="R218">
        <v>11</v>
      </c>
      <c r="S218">
        <f t="shared" si="127"/>
        <v>15</v>
      </c>
      <c r="T218">
        <f t="shared" si="128"/>
        <v>14</v>
      </c>
      <c r="U218">
        <f t="shared" si="129"/>
        <v>48</v>
      </c>
      <c r="V218">
        <f t="shared" si="130"/>
        <v>62</v>
      </c>
    </row>
    <row r="219" spans="1:22" x14ac:dyDescent="0.25">
      <c r="A219" t="s">
        <v>213</v>
      </c>
      <c r="B219">
        <v>0</v>
      </c>
      <c r="C219">
        <v>0</v>
      </c>
      <c r="D219">
        <f t="shared" si="120"/>
        <v>0</v>
      </c>
      <c r="E219">
        <f t="shared" si="121"/>
        <v>0</v>
      </c>
      <c r="F219">
        <v>4</v>
      </c>
      <c r="G219">
        <v>7</v>
      </c>
      <c r="H219">
        <f t="shared" si="122"/>
        <v>11</v>
      </c>
      <c r="I219">
        <f t="shared" si="123"/>
        <v>78.571399999999997</v>
      </c>
      <c r="J219">
        <v>0</v>
      </c>
      <c r="K219">
        <v>3</v>
      </c>
      <c r="L219">
        <f t="shared" si="124"/>
        <v>3</v>
      </c>
      <c r="M219">
        <f t="shared" si="125"/>
        <v>21.428599999999999</v>
      </c>
      <c r="N219">
        <v>0</v>
      </c>
      <c r="O219">
        <v>0</v>
      </c>
      <c r="P219">
        <f t="shared" si="126"/>
        <v>0</v>
      </c>
      <c r="Q219">
        <v>0</v>
      </c>
      <c r="R219">
        <v>0</v>
      </c>
      <c r="S219">
        <f t="shared" si="127"/>
        <v>0</v>
      </c>
      <c r="T219">
        <f t="shared" si="128"/>
        <v>4</v>
      </c>
      <c r="U219">
        <f t="shared" si="129"/>
        <v>10</v>
      </c>
      <c r="V219">
        <f t="shared" si="130"/>
        <v>14</v>
      </c>
    </row>
    <row r="220" spans="1:22" x14ac:dyDescent="0.25">
      <c r="A220" t="s">
        <v>214</v>
      </c>
      <c r="B220">
        <v>0</v>
      </c>
      <c r="C220">
        <v>3</v>
      </c>
      <c r="D220">
        <f t="shared" si="120"/>
        <v>3</v>
      </c>
      <c r="E220">
        <f t="shared" si="121"/>
        <v>16.666699999999999</v>
      </c>
      <c r="F220">
        <v>0</v>
      </c>
      <c r="G220">
        <v>11</v>
      </c>
      <c r="H220">
        <f t="shared" si="122"/>
        <v>11</v>
      </c>
      <c r="I220">
        <f t="shared" si="123"/>
        <v>61.1111</v>
      </c>
      <c r="J220">
        <v>0</v>
      </c>
      <c r="K220">
        <v>4</v>
      </c>
      <c r="L220">
        <f t="shared" si="124"/>
        <v>4</v>
      </c>
      <c r="M220">
        <f t="shared" si="125"/>
        <v>22.222200000000001</v>
      </c>
      <c r="N220">
        <v>0</v>
      </c>
      <c r="O220">
        <v>0</v>
      </c>
      <c r="P220">
        <f t="shared" si="126"/>
        <v>0</v>
      </c>
      <c r="Q220">
        <v>0</v>
      </c>
      <c r="R220">
        <v>4</v>
      </c>
      <c r="S220">
        <f t="shared" si="127"/>
        <v>4</v>
      </c>
      <c r="T220">
        <f t="shared" si="128"/>
        <v>0</v>
      </c>
      <c r="U220">
        <f t="shared" si="129"/>
        <v>18</v>
      </c>
      <c r="V220">
        <f t="shared" si="130"/>
        <v>18</v>
      </c>
    </row>
    <row r="221" spans="1:22" x14ac:dyDescent="0.25">
      <c r="A221" t="s">
        <v>215</v>
      </c>
      <c r="B221">
        <v>2</v>
      </c>
      <c r="C221">
        <v>8</v>
      </c>
      <c r="D221">
        <f t="shared" si="120"/>
        <v>10</v>
      </c>
      <c r="E221">
        <f t="shared" si="121"/>
        <v>11.236000000000001</v>
      </c>
      <c r="F221">
        <v>3</v>
      </c>
      <c r="G221">
        <v>41</v>
      </c>
      <c r="H221">
        <f t="shared" si="122"/>
        <v>44</v>
      </c>
      <c r="I221">
        <f t="shared" si="123"/>
        <v>49.438200000000002</v>
      </c>
      <c r="J221">
        <v>2</v>
      </c>
      <c r="K221">
        <v>33</v>
      </c>
      <c r="L221">
        <f t="shared" si="124"/>
        <v>35</v>
      </c>
      <c r="M221">
        <f t="shared" si="125"/>
        <v>39.325800000000001</v>
      </c>
      <c r="N221">
        <v>0</v>
      </c>
      <c r="O221">
        <v>1</v>
      </c>
      <c r="P221">
        <f t="shared" si="126"/>
        <v>1</v>
      </c>
      <c r="Q221">
        <v>1</v>
      </c>
      <c r="R221">
        <v>20</v>
      </c>
      <c r="S221">
        <f t="shared" si="127"/>
        <v>21</v>
      </c>
      <c r="T221">
        <f t="shared" si="128"/>
        <v>7</v>
      </c>
      <c r="U221">
        <f t="shared" si="129"/>
        <v>82</v>
      </c>
      <c r="V221">
        <f t="shared" si="130"/>
        <v>89</v>
      </c>
    </row>
    <row r="222" spans="1:22" x14ac:dyDescent="0.25">
      <c r="A222" t="s">
        <v>216</v>
      </c>
      <c r="B222">
        <v>0</v>
      </c>
      <c r="C222">
        <v>0</v>
      </c>
      <c r="D222">
        <f t="shared" si="120"/>
        <v>0</v>
      </c>
      <c r="E222">
        <f t="shared" si="121"/>
        <v>0</v>
      </c>
      <c r="F222">
        <v>1</v>
      </c>
      <c r="G222">
        <v>18</v>
      </c>
      <c r="H222">
        <f t="shared" si="122"/>
        <v>19</v>
      </c>
      <c r="I222">
        <f t="shared" si="123"/>
        <v>95</v>
      </c>
      <c r="J222">
        <v>0</v>
      </c>
      <c r="K222">
        <v>1</v>
      </c>
      <c r="L222">
        <f t="shared" si="124"/>
        <v>1</v>
      </c>
      <c r="M222">
        <f t="shared" si="125"/>
        <v>5</v>
      </c>
      <c r="N222">
        <v>0</v>
      </c>
      <c r="O222">
        <v>0</v>
      </c>
      <c r="P222">
        <f t="shared" si="126"/>
        <v>0</v>
      </c>
      <c r="Q222">
        <v>0</v>
      </c>
      <c r="R222">
        <v>1</v>
      </c>
      <c r="S222">
        <f t="shared" si="127"/>
        <v>1</v>
      </c>
      <c r="T222">
        <f t="shared" si="128"/>
        <v>1</v>
      </c>
      <c r="U222">
        <f t="shared" si="129"/>
        <v>19</v>
      </c>
      <c r="V222">
        <f t="shared" si="130"/>
        <v>20</v>
      </c>
    </row>
    <row r="223" spans="1:22" x14ac:dyDescent="0.25">
      <c r="A223" t="s">
        <v>217</v>
      </c>
      <c r="B223">
        <v>0</v>
      </c>
      <c r="C223">
        <v>0</v>
      </c>
      <c r="D223">
        <f t="shared" si="120"/>
        <v>0</v>
      </c>
      <c r="E223">
        <f t="shared" si="121"/>
        <v>0</v>
      </c>
      <c r="F223">
        <v>0</v>
      </c>
      <c r="G223">
        <v>1</v>
      </c>
      <c r="H223">
        <f t="shared" si="122"/>
        <v>1</v>
      </c>
      <c r="I223">
        <f t="shared" si="123"/>
        <v>50</v>
      </c>
      <c r="J223">
        <v>0</v>
      </c>
      <c r="K223">
        <v>1</v>
      </c>
      <c r="L223">
        <f t="shared" si="124"/>
        <v>1</v>
      </c>
      <c r="M223">
        <f t="shared" si="125"/>
        <v>50</v>
      </c>
      <c r="N223">
        <v>0</v>
      </c>
      <c r="O223">
        <v>0</v>
      </c>
      <c r="P223">
        <f t="shared" si="126"/>
        <v>0</v>
      </c>
      <c r="Q223">
        <v>0</v>
      </c>
      <c r="R223">
        <v>0</v>
      </c>
      <c r="S223">
        <f t="shared" si="127"/>
        <v>0</v>
      </c>
      <c r="T223">
        <f t="shared" si="128"/>
        <v>0</v>
      </c>
      <c r="U223">
        <f t="shared" si="129"/>
        <v>2</v>
      </c>
      <c r="V223">
        <f t="shared" si="130"/>
        <v>2</v>
      </c>
    </row>
    <row r="224" spans="1:22" x14ac:dyDescent="0.25">
      <c r="A224" t="s">
        <v>218</v>
      </c>
      <c r="B224">
        <v>0</v>
      </c>
      <c r="C224">
        <v>1</v>
      </c>
      <c r="D224">
        <f t="shared" si="120"/>
        <v>1</v>
      </c>
      <c r="E224">
        <f t="shared" si="121"/>
        <v>5.8823999999999996</v>
      </c>
      <c r="F224">
        <v>0</v>
      </c>
      <c r="G224">
        <v>5</v>
      </c>
      <c r="H224">
        <f t="shared" si="122"/>
        <v>5</v>
      </c>
      <c r="I224">
        <f t="shared" si="123"/>
        <v>29.411799999999999</v>
      </c>
      <c r="J224">
        <v>0</v>
      </c>
      <c r="K224">
        <v>11</v>
      </c>
      <c r="L224">
        <f t="shared" si="124"/>
        <v>11</v>
      </c>
      <c r="M224">
        <f t="shared" si="125"/>
        <v>64.7059</v>
      </c>
      <c r="N224">
        <v>0</v>
      </c>
      <c r="O224">
        <v>0</v>
      </c>
      <c r="P224">
        <f t="shared" si="126"/>
        <v>0</v>
      </c>
      <c r="Q224">
        <v>0</v>
      </c>
      <c r="R224">
        <v>2</v>
      </c>
      <c r="S224">
        <f t="shared" si="127"/>
        <v>2</v>
      </c>
      <c r="T224">
        <f t="shared" si="128"/>
        <v>0</v>
      </c>
      <c r="U224">
        <f t="shared" si="129"/>
        <v>17</v>
      </c>
      <c r="V224">
        <f t="shared" si="130"/>
        <v>17</v>
      </c>
    </row>
    <row r="225" spans="1:22" x14ac:dyDescent="0.25">
      <c r="A225" t="s">
        <v>219</v>
      </c>
      <c r="B225">
        <v>0</v>
      </c>
      <c r="C225">
        <v>12</v>
      </c>
      <c r="D225">
        <f t="shared" si="120"/>
        <v>12</v>
      </c>
      <c r="E225">
        <f t="shared" si="121"/>
        <v>6.1538000000000004</v>
      </c>
      <c r="F225">
        <v>8</v>
      </c>
      <c r="G225">
        <v>100</v>
      </c>
      <c r="H225">
        <f t="shared" si="122"/>
        <v>108</v>
      </c>
      <c r="I225">
        <f t="shared" si="123"/>
        <v>55.384599999999999</v>
      </c>
      <c r="J225">
        <v>2</v>
      </c>
      <c r="K225">
        <v>73</v>
      </c>
      <c r="L225">
        <f t="shared" si="124"/>
        <v>75</v>
      </c>
      <c r="M225">
        <f t="shared" si="125"/>
        <v>38.461500000000001</v>
      </c>
      <c r="N225">
        <v>1</v>
      </c>
      <c r="O225">
        <v>4</v>
      </c>
      <c r="P225">
        <f t="shared" si="126"/>
        <v>5</v>
      </c>
      <c r="Q225">
        <v>1</v>
      </c>
      <c r="R225">
        <v>25</v>
      </c>
      <c r="S225">
        <f t="shared" si="127"/>
        <v>26</v>
      </c>
      <c r="T225">
        <f t="shared" si="128"/>
        <v>10</v>
      </c>
      <c r="U225">
        <f t="shared" si="129"/>
        <v>185</v>
      </c>
      <c r="V225">
        <f t="shared" si="130"/>
        <v>195</v>
      </c>
    </row>
    <row r="226" spans="1:22" x14ac:dyDescent="0.25">
      <c r="A226" t="s">
        <v>220</v>
      </c>
      <c r="B226">
        <v>0</v>
      </c>
      <c r="C226">
        <v>0</v>
      </c>
      <c r="D226">
        <f t="shared" si="120"/>
        <v>0</v>
      </c>
      <c r="E226" t="str">
        <f t="shared" si="121"/>
        <v/>
      </c>
      <c r="F226">
        <v>0</v>
      </c>
      <c r="G226">
        <v>0</v>
      </c>
      <c r="H226">
        <f t="shared" si="122"/>
        <v>0</v>
      </c>
      <c r="I226" t="str">
        <f t="shared" si="123"/>
        <v/>
      </c>
      <c r="J226">
        <v>0</v>
      </c>
      <c r="K226">
        <v>0</v>
      </c>
      <c r="L226">
        <f t="shared" si="124"/>
        <v>0</v>
      </c>
      <c r="M226" t="str">
        <f t="shared" si="125"/>
        <v/>
      </c>
      <c r="N226">
        <v>0</v>
      </c>
      <c r="O226">
        <v>0</v>
      </c>
      <c r="P226">
        <f t="shared" si="126"/>
        <v>0</v>
      </c>
      <c r="Q226">
        <v>0</v>
      </c>
      <c r="R226">
        <v>0</v>
      </c>
      <c r="S226">
        <f t="shared" si="127"/>
        <v>0</v>
      </c>
      <c r="T226">
        <f t="shared" si="128"/>
        <v>0</v>
      </c>
      <c r="U226">
        <f t="shared" si="129"/>
        <v>0</v>
      </c>
      <c r="V226">
        <f t="shared" si="130"/>
        <v>0</v>
      </c>
    </row>
    <row r="227" spans="1:22" x14ac:dyDescent="0.25">
      <c r="A227" t="s">
        <v>221</v>
      </c>
      <c r="B227">
        <v>0</v>
      </c>
      <c r="C227">
        <v>0</v>
      </c>
      <c r="D227">
        <f t="shared" si="120"/>
        <v>0</v>
      </c>
      <c r="E227">
        <f t="shared" si="121"/>
        <v>0</v>
      </c>
      <c r="F227">
        <v>0</v>
      </c>
      <c r="G227">
        <v>2</v>
      </c>
      <c r="H227">
        <f t="shared" si="122"/>
        <v>2</v>
      </c>
      <c r="I227">
        <f t="shared" si="123"/>
        <v>66.666700000000006</v>
      </c>
      <c r="J227">
        <v>0</v>
      </c>
      <c r="K227">
        <v>1</v>
      </c>
      <c r="L227">
        <f t="shared" si="124"/>
        <v>1</v>
      </c>
      <c r="M227">
        <f t="shared" si="125"/>
        <v>33.333300000000001</v>
      </c>
      <c r="N227">
        <v>0</v>
      </c>
      <c r="O227">
        <v>0</v>
      </c>
      <c r="P227">
        <f t="shared" si="126"/>
        <v>0</v>
      </c>
      <c r="Q227">
        <v>0</v>
      </c>
      <c r="R227">
        <v>0</v>
      </c>
      <c r="S227">
        <f t="shared" si="127"/>
        <v>0</v>
      </c>
      <c r="T227">
        <f t="shared" si="128"/>
        <v>0</v>
      </c>
      <c r="U227">
        <f t="shared" si="129"/>
        <v>3</v>
      </c>
      <c r="V227">
        <f t="shared" si="130"/>
        <v>3</v>
      </c>
    </row>
    <row r="228" spans="1:22" x14ac:dyDescent="0.25">
      <c r="A228" t="s">
        <v>222</v>
      </c>
      <c r="B228">
        <v>0</v>
      </c>
      <c r="C228">
        <v>1</v>
      </c>
      <c r="D228">
        <f t="shared" si="120"/>
        <v>1</v>
      </c>
      <c r="E228">
        <f t="shared" si="121"/>
        <v>25</v>
      </c>
      <c r="F228">
        <v>0</v>
      </c>
      <c r="G228">
        <v>2</v>
      </c>
      <c r="H228">
        <f t="shared" si="122"/>
        <v>2</v>
      </c>
      <c r="I228">
        <f t="shared" si="123"/>
        <v>50</v>
      </c>
      <c r="J228">
        <v>0</v>
      </c>
      <c r="K228">
        <v>1</v>
      </c>
      <c r="L228">
        <f t="shared" si="124"/>
        <v>1</v>
      </c>
      <c r="M228">
        <f t="shared" si="125"/>
        <v>25</v>
      </c>
      <c r="N228">
        <v>0</v>
      </c>
      <c r="O228">
        <v>0</v>
      </c>
      <c r="P228">
        <f t="shared" si="126"/>
        <v>0</v>
      </c>
      <c r="Q228">
        <v>0</v>
      </c>
      <c r="R228">
        <v>0</v>
      </c>
      <c r="S228">
        <f t="shared" si="127"/>
        <v>0</v>
      </c>
      <c r="T228">
        <f t="shared" si="128"/>
        <v>0</v>
      </c>
      <c r="U228">
        <f t="shared" si="129"/>
        <v>4</v>
      </c>
      <c r="V228">
        <f t="shared" si="130"/>
        <v>4</v>
      </c>
    </row>
    <row r="229" spans="1:22" x14ac:dyDescent="0.25">
      <c r="A229" t="s">
        <v>223</v>
      </c>
      <c r="B229">
        <v>0</v>
      </c>
      <c r="C229">
        <v>0</v>
      </c>
      <c r="D229">
        <f t="shared" si="120"/>
        <v>0</v>
      </c>
      <c r="E229" t="str">
        <f t="shared" si="121"/>
        <v/>
      </c>
      <c r="F229">
        <v>0</v>
      </c>
      <c r="G229">
        <v>0</v>
      </c>
      <c r="H229">
        <f t="shared" si="122"/>
        <v>0</v>
      </c>
      <c r="I229" t="str">
        <f t="shared" si="123"/>
        <v/>
      </c>
      <c r="J229">
        <v>0</v>
      </c>
      <c r="K229">
        <v>0</v>
      </c>
      <c r="L229">
        <f t="shared" si="124"/>
        <v>0</v>
      </c>
      <c r="M229" t="str">
        <f t="shared" si="125"/>
        <v/>
      </c>
      <c r="N229">
        <v>0</v>
      </c>
      <c r="O229">
        <v>0</v>
      </c>
      <c r="P229">
        <f t="shared" si="126"/>
        <v>0</v>
      </c>
      <c r="Q229">
        <v>0</v>
      </c>
      <c r="R229">
        <v>0</v>
      </c>
      <c r="S229">
        <f t="shared" si="127"/>
        <v>0</v>
      </c>
      <c r="T229">
        <f t="shared" si="128"/>
        <v>0</v>
      </c>
      <c r="U229">
        <f t="shared" si="129"/>
        <v>0</v>
      </c>
      <c r="V229">
        <f t="shared" si="130"/>
        <v>0</v>
      </c>
    </row>
    <row r="230" spans="1:22" x14ac:dyDescent="0.25">
      <c r="A230" t="s">
        <v>224</v>
      </c>
      <c r="B230">
        <v>0</v>
      </c>
      <c r="C230">
        <v>2</v>
      </c>
      <c r="D230">
        <f t="shared" si="120"/>
        <v>2</v>
      </c>
      <c r="E230">
        <f t="shared" si="121"/>
        <v>10.526300000000001</v>
      </c>
      <c r="F230">
        <v>0</v>
      </c>
      <c r="G230">
        <v>15</v>
      </c>
      <c r="H230">
        <f t="shared" si="122"/>
        <v>15</v>
      </c>
      <c r="I230">
        <f t="shared" si="123"/>
        <v>78.947400000000002</v>
      </c>
      <c r="J230">
        <v>0</v>
      </c>
      <c r="K230">
        <v>2</v>
      </c>
      <c r="L230">
        <f t="shared" si="124"/>
        <v>2</v>
      </c>
      <c r="M230">
        <f t="shared" si="125"/>
        <v>10.526300000000001</v>
      </c>
      <c r="N230">
        <v>0</v>
      </c>
      <c r="O230">
        <v>3</v>
      </c>
      <c r="P230">
        <f t="shared" si="126"/>
        <v>3</v>
      </c>
      <c r="Q230">
        <v>0</v>
      </c>
      <c r="R230">
        <v>1</v>
      </c>
      <c r="S230">
        <f t="shared" si="127"/>
        <v>1</v>
      </c>
      <c r="T230">
        <f t="shared" si="128"/>
        <v>0</v>
      </c>
      <c r="U230">
        <f t="shared" si="129"/>
        <v>19</v>
      </c>
      <c r="V230">
        <f t="shared" si="130"/>
        <v>19</v>
      </c>
    </row>
    <row r="231" spans="1:22" x14ac:dyDescent="0.25">
      <c r="A231" t="s">
        <v>225</v>
      </c>
      <c r="B231">
        <v>0</v>
      </c>
      <c r="C231">
        <v>0</v>
      </c>
      <c r="D231">
        <f t="shared" si="120"/>
        <v>0</v>
      </c>
      <c r="E231">
        <f t="shared" si="121"/>
        <v>0</v>
      </c>
      <c r="F231">
        <v>0</v>
      </c>
      <c r="G231">
        <v>3</v>
      </c>
      <c r="H231">
        <f t="shared" si="122"/>
        <v>3</v>
      </c>
      <c r="I231">
        <f t="shared" si="123"/>
        <v>60</v>
      </c>
      <c r="J231">
        <v>0</v>
      </c>
      <c r="K231">
        <v>2</v>
      </c>
      <c r="L231">
        <f t="shared" si="124"/>
        <v>2</v>
      </c>
      <c r="M231">
        <f t="shared" si="125"/>
        <v>40</v>
      </c>
      <c r="N231">
        <v>0</v>
      </c>
      <c r="O231">
        <v>2</v>
      </c>
      <c r="P231">
        <f t="shared" si="126"/>
        <v>2</v>
      </c>
      <c r="Q231">
        <v>0</v>
      </c>
      <c r="R231">
        <v>0</v>
      </c>
      <c r="S231">
        <f t="shared" si="127"/>
        <v>0</v>
      </c>
      <c r="T231">
        <f t="shared" si="128"/>
        <v>0</v>
      </c>
      <c r="U231">
        <f t="shared" si="129"/>
        <v>5</v>
      </c>
      <c r="V231">
        <f t="shared" si="130"/>
        <v>5</v>
      </c>
    </row>
    <row r="232" spans="1:22" x14ac:dyDescent="0.25">
      <c r="A232" t="s">
        <v>226</v>
      </c>
      <c r="B232">
        <v>0</v>
      </c>
      <c r="C232">
        <v>0</v>
      </c>
      <c r="D232">
        <f t="shared" si="120"/>
        <v>0</v>
      </c>
      <c r="E232" t="str">
        <f t="shared" si="121"/>
        <v/>
      </c>
      <c r="F232">
        <v>0</v>
      </c>
      <c r="G232">
        <v>0</v>
      </c>
      <c r="H232">
        <f t="shared" si="122"/>
        <v>0</v>
      </c>
      <c r="I232" t="str">
        <f t="shared" si="123"/>
        <v/>
      </c>
      <c r="J232">
        <v>0</v>
      </c>
      <c r="K232">
        <v>0</v>
      </c>
      <c r="L232">
        <f t="shared" si="124"/>
        <v>0</v>
      </c>
      <c r="M232" t="str">
        <f t="shared" si="125"/>
        <v/>
      </c>
      <c r="N232">
        <v>0</v>
      </c>
      <c r="O232">
        <v>0</v>
      </c>
      <c r="P232">
        <f t="shared" si="126"/>
        <v>0</v>
      </c>
      <c r="Q232">
        <v>0</v>
      </c>
      <c r="R232">
        <v>0</v>
      </c>
      <c r="S232">
        <f t="shared" si="127"/>
        <v>0</v>
      </c>
      <c r="T232">
        <f t="shared" si="128"/>
        <v>0</v>
      </c>
      <c r="U232">
        <f t="shared" si="129"/>
        <v>0</v>
      </c>
      <c r="V232">
        <f t="shared" si="130"/>
        <v>0</v>
      </c>
    </row>
    <row r="233" spans="1:22" x14ac:dyDescent="0.25">
      <c r="A233" t="s">
        <v>227</v>
      </c>
      <c r="B233">
        <v>0</v>
      </c>
      <c r="C233">
        <v>0</v>
      </c>
      <c r="D233">
        <f t="shared" si="120"/>
        <v>0</v>
      </c>
      <c r="E233" t="str">
        <f t="shared" si="121"/>
        <v/>
      </c>
      <c r="F233">
        <v>0</v>
      </c>
      <c r="G233">
        <v>0</v>
      </c>
      <c r="H233">
        <f t="shared" si="122"/>
        <v>0</v>
      </c>
      <c r="I233" t="str">
        <f t="shared" si="123"/>
        <v/>
      </c>
      <c r="J233">
        <v>0</v>
      </c>
      <c r="K233">
        <v>0</v>
      </c>
      <c r="L233">
        <f t="shared" si="124"/>
        <v>0</v>
      </c>
      <c r="M233" t="str">
        <f t="shared" si="125"/>
        <v/>
      </c>
      <c r="N233">
        <v>0</v>
      </c>
      <c r="O233">
        <v>0</v>
      </c>
      <c r="P233">
        <f t="shared" si="126"/>
        <v>0</v>
      </c>
      <c r="Q233">
        <v>0</v>
      </c>
      <c r="R233">
        <v>0</v>
      </c>
      <c r="S233">
        <f t="shared" si="127"/>
        <v>0</v>
      </c>
      <c r="T233">
        <f t="shared" si="128"/>
        <v>0</v>
      </c>
      <c r="U233">
        <f t="shared" si="129"/>
        <v>0</v>
      </c>
      <c r="V233">
        <f t="shared" si="130"/>
        <v>0</v>
      </c>
    </row>
    <row r="234" spans="1:22" x14ac:dyDescent="0.25">
      <c r="A234" t="s">
        <v>228</v>
      </c>
      <c r="B234">
        <v>0</v>
      </c>
      <c r="C234">
        <v>0</v>
      </c>
      <c r="D234">
        <f t="shared" si="120"/>
        <v>0</v>
      </c>
      <c r="E234">
        <f t="shared" si="121"/>
        <v>0</v>
      </c>
      <c r="F234">
        <v>0</v>
      </c>
      <c r="G234">
        <v>1</v>
      </c>
      <c r="H234">
        <f t="shared" si="122"/>
        <v>1</v>
      </c>
      <c r="I234">
        <f t="shared" si="123"/>
        <v>50</v>
      </c>
      <c r="J234">
        <v>0</v>
      </c>
      <c r="K234">
        <v>1</v>
      </c>
      <c r="L234">
        <f t="shared" si="124"/>
        <v>1</v>
      </c>
      <c r="M234">
        <f t="shared" si="125"/>
        <v>50</v>
      </c>
      <c r="N234">
        <v>0</v>
      </c>
      <c r="O234">
        <v>0</v>
      </c>
      <c r="P234">
        <f t="shared" si="126"/>
        <v>0</v>
      </c>
      <c r="Q234">
        <v>0</v>
      </c>
      <c r="R234">
        <v>0</v>
      </c>
      <c r="S234">
        <f t="shared" si="127"/>
        <v>0</v>
      </c>
      <c r="T234">
        <f t="shared" si="128"/>
        <v>0</v>
      </c>
      <c r="U234">
        <f t="shared" si="129"/>
        <v>2</v>
      </c>
      <c r="V234">
        <f t="shared" si="130"/>
        <v>2</v>
      </c>
    </row>
    <row r="235" spans="1:22" x14ac:dyDescent="0.25">
      <c r="A235" t="s">
        <v>229</v>
      </c>
      <c r="B235">
        <v>0</v>
      </c>
      <c r="C235">
        <v>0</v>
      </c>
      <c r="D235">
        <f t="shared" si="120"/>
        <v>0</v>
      </c>
      <c r="E235" t="str">
        <f t="shared" si="121"/>
        <v/>
      </c>
      <c r="F235">
        <v>0</v>
      </c>
      <c r="G235">
        <v>0</v>
      </c>
      <c r="H235">
        <f t="shared" si="122"/>
        <v>0</v>
      </c>
      <c r="I235" t="str">
        <f t="shared" si="123"/>
        <v/>
      </c>
      <c r="J235">
        <v>0</v>
      </c>
      <c r="K235">
        <v>0</v>
      </c>
      <c r="L235">
        <f t="shared" si="124"/>
        <v>0</v>
      </c>
      <c r="M235" t="str">
        <f t="shared" si="125"/>
        <v/>
      </c>
      <c r="N235">
        <v>0</v>
      </c>
      <c r="O235">
        <v>0</v>
      </c>
      <c r="P235">
        <f t="shared" si="126"/>
        <v>0</v>
      </c>
      <c r="Q235">
        <v>0</v>
      </c>
      <c r="R235">
        <v>0</v>
      </c>
      <c r="S235">
        <f t="shared" si="127"/>
        <v>0</v>
      </c>
      <c r="T235">
        <f t="shared" si="128"/>
        <v>0</v>
      </c>
      <c r="U235">
        <f t="shared" si="129"/>
        <v>0</v>
      </c>
      <c r="V235">
        <f t="shared" si="130"/>
        <v>0</v>
      </c>
    </row>
    <row r="236" spans="1:22" x14ac:dyDescent="0.25">
      <c r="A236" t="s">
        <v>230</v>
      </c>
      <c r="B236">
        <v>0</v>
      </c>
      <c r="C236">
        <v>0</v>
      </c>
      <c r="D236">
        <f t="shared" si="120"/>
        <v>0</v>
      </c>
      <c r="E236" t="str">
        <f t="shared" si="121"/>
        <v/>
      </c>
      <c r="F236">
        <v>0</v>
      </c>
      <c r="G236">
        <v>0</v>
      </c>
      <c r="H236">
        <f t="shared" si="122"/>
        <v>0</v>
      </c>
      <c r="I236" t="str">
        <f t="shared" si="123"/>
        <v/>
      </c>
      <c r="J236">
        <v>0</v>
      </c>
      <c r="K236">
        <v>0</v>
      </c>
      <c r="L236">
        <f t="shared" si="124"/>
        <v>0</v>
      </c>
      <c r="M236" t="str">
        <f t="shared" si="125"/>
        <v/>
      </c>
      <c r="N236">
        <v>0</v>
      </c>
      <c r="O236">
        <v>0</v>
      </c>
      <c r="P236">
        <f t="shared" si="126"/>
        <v>0</v>
      </c>
      <c r="Q236">
        <v>0</v>
      </c>
      <c r="R236">
        <v>0</v>
      </c>
      <c r="S236">
        <f t="shared" si="127"/>
        <v>0</v>
      </c>
      <c r="T236">
        <f t="shared" si="128"/>
        <v>0</v>
      </c>
      <c r="U236">
        <f t="shared" si="129"/>
        <v>0</v>
      </c>
      <c r="V236">
        <f t="shared" si="130"/>
        <v>0</v>
      </c>
    </row>
    <row r="237" spans="1:22" x14ac:dyDescent="0.25">
      <c r="A237" t="s">
        <v>231</v>
      </c>
      <c r="B237">
        <v>0</v>
      </c>
      <c r="C237">
        <v>0</v>
      </c>
      <c r="D237">
        <f t="shared" si="120"/>
        <v>0</v>
      </c>
      <c r="E237">
        <f t="shared" si="121"/>
        <v>0</v>
      </c>
      <c r="F237">
        <v>1</v>
      </c>
      <c r="G237">
        <v>8</v>
      </c>
      <c r="H237">
        <f t="shared" si="122"/>
        <v>9</v>
      </c>
      <c r="I237">
        <f t="shared" si="123"/>
        <v>64.285700000000006</v>
      </c>
      <c r="J237">
        <v>2</v>
      </c>
      <c r="K237">
        <v>3</v>
      </c>
      <c r="L237">
        <f t="shared" si="124"/>
        <v>5</v>
      </c>
      <c r="M237">
        <f t="shared" si="125"/>
        <v>35.714300000000001</v>
      </c>
      <c r="N237">
        <v>0</v>
      </c>
      <c r="O237">
        <v>0</v>
      </c>
      <c r="P237">
        <f t="shared" si="126"/>
        <v>0</v>
      </c>
      <c r="Q237">
        <v>0</v>
      </c>
      <c r="R237">
        <v>3</v>
      </c>
      <c r="S237">
        <f t="shared" si="127"/>
        <v>3</v>
      </c>
      <c r="T237">
        <f t="shared" si="128"/>
        <v>3</v>
      </c>
      <c r="U237">
        <f t="shared" si="129"/>
        <v>11</v>
      </c>
      <c r="V237">
        <f t="shared" si="130"/>
        <v>14</v>
      </c>
    </row>
    <row r="238" spans="1:22" x14ac:dyDescent="0.25">
      <c r="A238" t="s">
        <v>232</v>
      </c>
      <c r="B238">
        <v>1</v>
      </c>
      <c r="C238">
        <v>0</v>
      </c>
      <c r="D238">
        <f t="shared" si="120"/>
        <v>1</v>
      </c>
      <c r="E238">
        <f t="shared" si="121"/>
        <v>6.6666999999999996</v>
      </c>
      <c r="F238">
        <v>0</v>
      </c>
      <c r="G238">
        <v>8</v>
      </c>
      <c r="H238">
        <f t="shared" si="122"/>
        <v>8</v>
      </c>
      <c r="I238">
        <f t="shared" si="123"/>
        <v>53.333300000000001</v>
      </c>
      <c r="J238">
        <v>0</v>
      </c>
      <c r="K238">
        <v>6</v>
      </c>
      <c r="L238">
        <f t="shared" si="124"/>
        <v>6</v>
      </c>
      <c r="M238">
        <f t="shared" si="125"/>
        <v>40</v>
      </c>
      <c r="N238">
        <v>0</v>
      </c>
      <c r="O238">
        <v>0</v>
      </c>
      <c r="P238">
        <f t="shared" si="126"/>
        <v>0</v>
      </c>
      <c r="Q238">
        <v>0</v>
      </c>
      <c r="R238">
        <v>12</v>
      </c>
      <c r="S238">
        <f t="shared" si="127"/>
        <v>12</v>
      </c>
      <c r="T238">
        <f t="shared" si="128"/>
        <v>1</v>
      </c>
      <c r="U238">
        <f t="shared" si="129"/>
        <v>14</v>
      </c>
      <c r="V238">
        <f t="shared" si="130"/>
        <v>15</v>
      </c>
    </row>
    <row r="239" spans="1:22" x14ac:dyDescent="0.25">
      <c r="A239" t="s">
        <v>233</v>
      </c>
      <c r="B239">
        <v>0</v>
      </c>
      <c r="C239">
        <v>0</v>
      </c>
      <c r="D239">
        <f t="shared" si="120"/>
        <v>0</v>
      </c>
      <c r="E239">
        <f t="shared" si="121"/>
        <v>0</v>
      </c>
      <c r="F239">
        <v>0</v>
      </c>
      <c r="G239">
        <v>0</v>
      </c>
      <c r="H239">
        <f t="shared" si="122"/>
        <v>0</v>
      </c>
      <c r="I239">
        <f t="shared" si="123"/>
        <v>0</v>
      </c>
      <c r="J239">
        <v>0</v>
      </c>
      <c r="K239">
        <v>1</v>
      </c>
      <c r="L239">
        <f t="shared" si="124"/>
        <v>1</v>
      </c>
      <c r="M239">
        <f t="shared" si="125"/>
        <v>100</v>
      </c>
      <c r="N239">
        <v>0</v>
      </c>
      <c r="O239">
        <v>0</v>
      </c>
      <c r="P239">
        <f t="shared" si="126"/>
        <v>0</v>
      </c>
      <c r="Q239">
        <v>0</v>
      </c>
      <c r="R239">
        <v>0</v>
      </c>
      <c r="S239">
        <f t="shared" si="127"/>
        <v>0</v>
      </c>
      <c r="T239">
        <f t="shared" si="128"/>
        <v>0</v>
      </c>
      <c r="U239">
        <f t="shared" si="129"/>
        <v>1</v>
      </c>
      <c r="V239">
        <f t="shared" si="130"/>
        <v>1</v>
      </c>
    </row>
    <row r="240" spans="1:22" x14ac:dyDescent="0.25">
      <c r="A240" t="s">
        <v>234</v>
      </c>
      <c r="B240">
        <v>0</v>
      </c>
      <c r="C240">
        <v>0</v>
      </c>
      <c r="D240">
        <f t="shared" si="120"/>
        <v>0</v>
      </c>
      <c r="E240">
        <f t="shared" si="121"/>
        <v>0</v>
      </c>
      <c r="F240">
        <v>0</v>
      </c>
      <c r="G240">
        <v>1</v>
      </c>
      <c r="H240">
        <f t="shared" si="122"/>
        <v>1</v>
      </c>
      <c r="I240">
        <f t="shared" si="123"/>
        <v>50</v>
      </c>
      <c r="J240">
        <v>0</v>
      </c>
      <c r="K240">
        <v>1</v>
      </c>
      <c r="L240">
        <f t="shared" si="124"/>
        <v>1</v>
      </c>
      <c r="M240">
        <f t="shared" si="125"/>
        <v>50</v>
      </c>
      <c r="N240">
        <v>0</v>
      </c>
      <c r="O240">
        <v>0</v>
      </c>
      <c r="P240">
        <f t="shared" si="126"/>
        <v>0</v>
      </c>
      <c r="Q240">
        <v>1</v>
      </c>
      <c r="R240">
        <v>2</v>
      </c>
      <c r="S240">
        <f t="shared" si="127"/>
        <v>3</v>
      </c>
      <c r="T240">
        <f t="shared" si="128"/>
        <v>0</v>
      </c>
      <c r="U240">
        <f t="shared" si="129"/>
        <v>2</v>
      </c>
      <c r="V240">
        <f t="shared" si="130"/>
        <v>2</v>
      </c>
    </row>
    <row r="241" spans="1:22" x14ac:dyDescent="0.25">
      <c r="A241" t="s">
        <v>235</v>
      </c>
      <c r="B241">
        <v>0</v>
      </c>
      <c r="C241">
        <v>1</v>
      </c>
      <c r="D241">
        <f t="shared" si="120"/>
        <v>1</v>
      </c>
      <c r="E241">
        <f t="shared" si="121"/>
        <v>20</v>
      </c>
      <c r="F241">
        <v>2</v>
      </c>
      <c r="G241">
        <v>1</v>
      </c>
      <c r="H241">
        <f t="shared" si="122"/>
        <v>3</v>
      </c>
      <c r="I241">
        <f t="shared" si="123"/>
        <v>60</v>
      </c>
      <c r="J241">
        <v>0</v>
      </c>
      <c r="K241">
        <v>1</v>
      </c>
      <c r="L241">
        <f t="shared" si="124"/>
        <v>1</v>
      </c>
      <c r="M241">
        <f t="shared" si="125"/>
        <v>20</v>
      </c>
      <c r="N241">
        <v>0</v>
      </c>
      <c r="O241">
        <v>0</v>
      </c>
      <c r="P241">
        <f t="shared" si="126"/>
        <v>0</v>
      </c>
      <c r="Q241">
        <v>0</v>
      </c>
      <c r="R241">
        <v>0</v>
      </c>
      <c r="S241">
        <f t="shared" si="127"/>
        <v>0</v>
      </c>
      <c r="T241">
        <f t="shared" si="128"/>
        <v>2</v>
      </c>
      <c r="U241">
        <f t="shared" si="129"/>
        <v>3</v>
      </c>
      <c r="V241">
        <f t="shared" si="130"/>
        <v>5</v>
      </c>
    </row>
    <row r="242" spans="1:22" x14ac:dyDescent="0.25">
      <c r="A242" t="s">
        <v>236</v>
      </c>
      <c r="B242">
        <v>0</v>
      </c>
      <c r="C242">
        <v>0</v>
      </c>
      <c r="D242">
        <f t="shared" si="120"/>
        <v>0</v>
      </c>
      <c r="E242" t="str">
        <f t="shared" si="121"/>
        <v/>
      </c>
      <c r="F242">
        <v>0</v>
      </c>
      <c r="G242">
        <v>0</v>
      </c>
      <c r="H242">
        <f t="shared" si="122"/>
        <v>0</v>
      </c>
      <c r="I242" t="str">
        <f t="shared" si="123"/>
        <v/>
      </c>
      <c r="J242">
        <v>0</v>
      </c>
      <c r="K242">
        <v>0</v>
      </c>
      <c r="L242">
        <f t="shared" si="124"/>
        <v>0</v>
      </c>
      <c r="M242" t="str">
        <f t="shared" si="125"/>
        <v/>
      </c>
      <c r="N242">
        <v>0</v>
      </c>
      <c r="O242">
        <v>0</v>
      </c>
      <c r="P242">
        <f t="shared" si="126"/>
        <v>0</v>
      </c>
      <c r="Q242">
        <v>0</v>
      </c>
      <c r="R242">
        <v>0</v>
      </c>
      <c r="S242">
        <f t="shared" si="127"/>
        <v>0</v>
      </c>
      <c r="T242">
        <f t="shared" si="128"/>
        <v>0</v>
      </c>
      <c r="U242">
        <f t="shared" si="129"/>
        <v>0</v>
      </c>
      <c r="V242">
        <f t="shared" si="130"/>
        <v>0</v>
      </c>
    </row>
    <row r="243" spans="1:22" x14ac:dyDescent="0.25">
      <c r="A243" t="s">
        <v>237</v>
      </c>
      <c r="B243">
        <v>0</v>
      </c>
      <c r="C243">
        <v>0</v>
      </c>
      <c r="D243">
        <f t="shared" si="120"/>
        <v>0</v>
      </c>
      <c r="E243">
        <f t="shared" si="121"/>
        <v>0</v>
      </c>
      <c r="F243">
        <v>0</v>
      </c>
      <c r="G243">
        <v>1</v>
      </c>
      <c r="H243">
        <f t="shared" si="122"/>
        <v>1</v>
      </c>
      <c r="I243">
        <f t="shared" si="123"/>
        <v>100</v>
      </c>
      <c r="J243">
        <v>0</v>
      </c>
      <c r="K243">
        <v>0</v>
      </c>
      <c r="L243">
        <f t="shared" si="124"/>
        <v>0</v>
      </c>
      <c r="M243">
        <f t="shared" si="125"/>
        <v>0</v>
      </c>
      <c r="N243">
        <v>0</v>
      </c>
      <c r="O243">
        <v>0</v>
      </c>
      <c r="P243">
        <f t="shared" si="126"/>
        <v>0</v>
      </c>
      <c r="Q243">
        <v>0</v>
      </c>
      <c r="R243">
        <v>0</v>
      </c>
      <c r="S243">
        <f t="shared" si="127"/>
        <v>0</v>
      </c>
      <c r="T243">
        <f t="shared" si="128"/>
        <v>0</v>
      </c>
      <c r="U243">
        <f t="shared" si="129"/>
        <v>1</v>
      </c>
      <c r="V243">
        <f t="shared" si="130"/>
        <v>1</v>
      </c>
    </row>
    <row r="244" spans="1:22" x14ac:dyDescent="0.25">
      <c r="A244" t="s">
        <v>238</v>
      </c>
      <c r="B244">
        <v>0</v>
      </c>
      <c r="C244">
        <v>1</v>
      </c>
      <c r="D244">
        <f t="shared" si="120"/>
        <v>1</v>
      </c>
      <c r="E244">
        <f t="shared" si="121"/>
        <v>100</v>
      </c>
      <c r="F244">
        <v>0</v>
      </c>
      <c r="G244">
        <v>0</v>
      </c>
      <c r="H244">
        <f t="shared" si="122"/>
        <v>0</v>
      </c>
      <c r="I244">
        <f t="shared" si="123"/>
        <v>0</v>
      </c>
      <c r="J244">
        <v>0</v>
      </c>
      <c r="K244">
        <v>0</v>
      </c>
      <c r="L244">
        <f t="shared" si="124"/>
        <v>0</v>
      </c>
      <c r="M244">
        <f t="shared" si="125"/>
        <v>0</v>
      </c>
      <c r="N244">
        <v>0</v>
      </c>
      <c r="O244">
        <v>0</v>
      </c>
      <c r="P244">
        <f t="shared" si="126"/>
        <v>0</v>
      </c>
      <c r="Q244">
        <v>0</v>
      </c>
      <c r="R244">
        <v>0</v>
      </c>
      <c r="S244">
        <f t="shared" si="127"/>
        <v>0</v>
      </c>
      <c r="T244">
        <f t="shared" si="128"/>
        <v>0</v>
      </c>
      <c r="U244">
        <f t="shared" si="129"/>
        <v>1</v>
      </c>
      <c r="V244">
        <f t="shared" si="130"/>
        <v>1</v>
      </c>
    </row>
    <row r="245" spans="1:22" x14ac:dyDescent="0.25">
      <c r="A245" t="s">
        <v>239</v>
      </c>
      <c r="B245">
        <v>0</v>
      </c>
      <c r="C245">
        <v>0</v>
      </c>
      <c r="D245">
        <f t="shared" si="120"/>
        <v>0</v>
      </c>
      <c r="E245">
        <f t="shared" si="121"/>
        <v>0</v>
      </c>
      <c r="F245">
        <v>0</v>
      </c>
      <c r="G245">
        <v>0</v>
      </c>
      <c r="H245">
        <f t="shared" si="122"/>
        <v>0</v>
      </c>
      <c r="I245">
        <f t="shared" si="123"/>
        <v>0</v>
      </c>
      <c r="J245">
        <v>0</v>
      </c>
      <c r="K245">
        <v>19</v>
      </c>
      <c r="L245">
        <f t="shared" si="124"/>
        <v>19</v>
      </c>
      <c r="M245">
        <f t="shared" si="125"/>
        <v>100</v>
      </c>
      <c r="N245">
        <v>0</v>
      </c>
      <c r="O245">
        <v>0</v>
      </c>
      <c r="P245">
        <f t="shared" si="126"/>
        <v>0</v>
      </c>
      <c r="Q245">
        <v>0</v>
      </c>
      <c r="R245">
        <v>12</v>
      </c>
      <c r="S245">
        <f t="shared" si="127"/>
        <v>12</v>
      </c>
      <c r="T245">
        <f t="shared" si="128"/>
        <v>0</v>
      </c>
      <c r="U245">
        <f t="shared" si="129"/>
        <v>19</v>
      </c>
      <c r="V245">
        <f t="shared" si="130"/>
        <v>19</v>
      </c>
    </row>
    <row r="246" spans="1:22" x14ac:dyDescent="0.25">
      <c r="A246" t="s">
        <v>240</v>
      </c>
      <c r="B246">
        <v>0</v>
      </c>
      <c r="C246">
        <v>0</v>
      </c>
      <c r="D246">
        <f t="shared" si="120"/>
        <v>0</v>
      </c>
      <c r="E246">
        <f t="shared" si="121"/>
        <v>0</v>
      </c>
      <c r="F246">
        <v>0</v>
      </c>
      <c r="G246">
        <v>1</v>
      </c>
      <c r="H246">
        <f t="shared" si="122"/>
        <v>1</v>
      </c>
      <c r="I246">
        <f t="shared" si="123"/>
        <v>100</v>
      </c>
      <c r="J246">
        <v>0</v>
      </c>
      <c r="K246">
        <v>0</v>
      </c>
      <c r="L246">
        <f t="shared" si="124"/>
        <v>0</v>
      </c>
      <c r="M246">
        <f t="shared" si="125"/>
        <v>0</v>
      </c>
      <c r="N246">
        <v>0</v>
      </c>
      <c r="O246">
        <v>0</v>
      </c>
      <c r="P246">
        <f t="shared" si="126"/>
        <v>0</v>
      </c>
      <c r="Q246">
        <v>0</v>
      </c>
      <c r="R246">
        <v>0</v>
      </c>
      <c r="S246">
        <f t="shared" si="127"/>
        <v>0</v>
      </c>
      <c r="T246">
        <f t="shared" si="128"/>
        <v>0</v>
      </c>
      <c r="U246">
        <f t="shared" si="129"/>
        <v>1</v>
      </c>
      <c r="V246">
        <f t="shared" si="130"/>
        <v>1</v>
      </c>
    </row>
    <row r="247" spans="1:22" x14ac:dyDescent="0.25">
      <c r="A247" t="s">
        <v>241</v>
      </c>
      <c r="B247">
        <v>10</v>
      </c>
      <c r="C247">
        <v>9</v>
      </c>
      <c r="D247">
        <f t="shared" si="120"/>
        <v>19</v>
      </c>
      <c r="E247">
        <f t="shared" si="121"/>
        <v>10.3825</v>
      </c>
      <c r="F247">
        <v>17</v>
      </c>
      <c r="G247">
        <v>60</v>
      </c>
      <c r="H247">
        <f t="shared" si="122"/>
        <v>77</v>
      </c>
      <c r="I247">
        <f t="shared" si="123"/>
        <v>42.076500000000003</v>
      </c>
      <c r="J247">
        <v>65</v>
      </c>
      <c r="K247">
        <v>22</v>
      </c>
      <c r="L247">
        <f t="shared" si="124"/>
        <v>87</v>
      </c>
      <c r="M247">
        <f t="shared" si="125"/>
        <v>47.540999999999997</v>
      </c>
      <c r="N247">
        <v>0</v>
      </c>
      <c r="O247">
        <v>0</v>
      </c>
      <c r="P247">
        <f t="shared" si="126"/>
        <v>0</v>
      </c>
      <c r="Q247">
        <v>10</v>
      </c>
      <c r="R247">
        <v>21</v>
      </c>
      <c r="S247">
        <f t="shared" si="127"/>
        <v>31</v>
      </c>
      <c r="T247">
        <f t="shared" si="128"/>
        <v>92</v>
      </c>
      <c r="U247">
        <f t="shared" si="129"/>
        <v>91</v>
      </c>
      <c r="V247">
        <f t="shared" si="130"/>
        <v>183</v>
      </c>
    </row>
    <row r="248" spans="1:22" x14ac:dyDescent="0.25">
      <c r="A248" t="s">
        <v>242</v>
      </c>
      <c r="B248">
        <v>0</v>
      </c>
      <c r="C248">
        <v>0</v>
      </c>
      <c r="D248">
        <f t="shared" si="120"/>
        <v>0</v>
      </c>
      <c r="E248" t="str">
        <f t="shared" si="121"/>
        <v/>
      </c>
      <c r="F248">
        <v>0</v>
      </c>
      <c r="G248">
        <v>0</v>
      </c>
      <c r="H248">
        <f t="shared" si="122"/>
        <v>0</v>
      </c>
      <c r="I248" t="str">
        <f t="shared" si="123"/>
        <v/>
      </c>
      <c r="J248">
        <v>0</v>
      </c>
      <c r="K248">
        <v>0</v>
      </c>
      <c r="L248">
        <f t="shared" si="124"/>
        <v>0</v>
      </c>
      <c r="M248" t="str">
        <f t="shared" si="125"/>
        <v/>
      </c>
      <c r="N248">
        <v>0</v>
      </c>
      <c r="O248">
        <v>0</v>
      </c>
      <c r="P248">
        <f t="shared" si="126"/>
        <v>0</v>
      </c>
      <c r="Q248">
        <v>0</v>
      </c>
      <c r="R248">
        <v>0</v>
      </c>
      <c r="S248">
        <f t="shared" si="127"/>
        <v>0</v>
      </c>
      <c r="T248">
        <f t="shared" si="128"/>
        <v>0</v>
      </c>
      <c r="U248">
        <f t="shared" si="129"/>
        <v>0</v>
      </c>
      <c r="V248">
        <f t="shared" si="130"/>
        <v>0</v>
      </c>
    </row>
    <row r="249" spans="1:22" x14ac:dyDescent="0.25">
      <c r="A249" t="s">
        <v>243</v>
      </c>
      <c r="B249">
        <v>0</v>
      </c>
      <c r="C249">
        <v>0</v>
      </c>
      <c r="D249">
        <f t="shared" si="120"/>
        <v>0</v>
      </c>
      <c r="E249">
        <f t="shared" si="121"/>
        <v>0</v>
      </c>
      <c r="F249">
        <v>1</v>
      </c>
      <c r="G249">
        <v>4</v>
      </c>
      <c r="H249">
        <f t="shared" si="122"/>
        <v>5</v>
      </c>
      <c r="I249">
        <f t="shared" si="123"/>
        <v>62.5</v>
      </c>
      <c r="J249">
        <v>0</v>
      </c>
      <c r="K249">
        <v>3</v>
      </c>
      <c r="L249">
        <f t="shared" si="124"/>
        <v>3</v>
      </c>
      <c r="M249">
        <f t="shared" si="125"/>
        <v>37.5</v>
      </c>
      <c r="N249">
        <v>0</v>
      </c>
      <c r="O249">
        <v>0</v>
      </c>
      <c r="P249">
        <f t="shared" si="126"/>
        <v>0</v>
      </c>
      <c r="Q249">
        <v>0</v>
      </c>
      <c r="R249">
        <v>0</v>
      </c>
      <c r="S249">
        <f t="shared" si="127"/>
        <v>0</v>
      </c>
      <c r="T249">
        <f t="shared" si="128"/>
        <v>1</v>
      </c>
      <c r="U249">
        <f t="shared" si="129"/>
        <v>7</v>
      </c>
      <c r="V249">
        <f t="shared" si="130"/>
        <v>8</v>
      </c>
    </row>
    <row r="250" spans="1:22" x14ac:dyDescent="0.25">
      <c r="A250" t="s">
        <v>244</v>
      </c>
      <c r="B250">
        <v>0</v>
      </c>
      <c r="C250">
        <v>1</v>
      </c>
      <c r="D250">
        <f t="shared" si="120"/>
        <v>1</v>
      </c>
      <c r="E250">
        <f t="shared" si="121"/>
        <v>8.3332999999999995</v>
      </c>
      <c r="F250">
        <v>0</v>
      </c>
      <c r="G250">
        <v>6</v>
      </c>
      <c r="H250">
        <f t="shared" si="122"/>
        <v>6</v>
      </c>
      <c r="I250">
        <f t="shared" si="123"/>
        <v>50</v>
      </c>
      <c r="J250">
        <v>0</v>
      </c>
      <c r="K250">
        <v>5</v>
      </c>
      <c r="L250">
        <f t="shared" si="124"/>
        <v>5</v>
      </c>
      <c r="M250">
        <f t="shared" si="125"/>
        <v>41.666699999999999</v>
      </c>
      <c r="N250">
        <v>0</v>
      </c>
      <c r="O250">
        <v>0</v>
      </c>
      <c r="P250">
        <f t="shared" si="126"/>
        <v>0</v>
      </c>
      <c r="Q250">
        <v>0</v>
      </c>
      <c r="R250">
        <v>1</v>
      </c>
      <c r="S250">
        <f t="shared" si="127"/>
        <v>1</v>
      </c>
      <c r="T250">
        <f t="shared" si="128"/>
        <v>0</v>
      </c>
      <c r="U250">
        <f t="shared" si="129"/>
        <v>12</v>
      </c>
      <c r="V250">
        <f t="shared" si="130"/>
        <v>12</v>
      </c>
    </row>
    <row r="251" spans="1:22" x14ac:dyDescent="0.25">
      <c r="A251" t="s">
        <v>245</v>
      </c>
      <c r="B251">
        <v>0</v>
      </c>
      <c r="C251">
        <v>0</v>
      </c>
      <c r="D251">
        <f t="shared" si="120"/>
        <v>0</v>
      </c>
      <c r="E251">
        <f t="shared" si="121"/>
        <v>0</v>
      </c>
      <c r="F251">
        <v>4</v>
      </c>
      <c r="G251">
        <v>2</v>
      </c>
      <c r="H251">
        <f t="shared" si="122"/>
        <v>6</v>
      </c>
      <c r="I251">
        <f t="shared" si="123"/>
        <v>40</v>
      </c>
      <c r="J251">
        <v>6</v>
      </c>
      <c r="K251">
        <v>3</v>
      </c>
      <c r="L251">
        <f t="shared" si="124"/>
        <v>9</v>
      </c>
      <c r="M251">
        <f t="shared" si="125"/>
        <v>60</v>
      </c>
      <c r="N251">
        <v>0</v>
      </c>
      <c r="O251">
        <v>0</v>
      </c>
      <c r="P251">
        <f t="shared" si="126"/>
        <v>0</v>
      </c>
      <c r="Q251">
        <v>0</v>
      </c>
      <c r="R251">
        <v>0</v>
      </c>
      <c r="S251">
        <f t="shared" si="127"/>
        <v>0</v>
      </c>
      <c r="T251">
        <f t="shared" si="128"/>
        <v>10</v>
      </c>
      <c r="U251">
        <f t="shared" si="129"/>
        <v>5</v>
      </c>
      <c r="V251">
        <f t="shared" si="130"/>
        <v>15</v>
      </c>
    </row>
    <row r="253" spans="1:22" x14ac:dyDescent="0.25">
      <c r="A253" s="8" t="s">
        <v>246</v>
      </c>
      <c r="B253" s="8" t="s">
        <v>246</v>
      </c>
      <c r="C253" s="8" t="s">
        <v>246</v>
      </c>
      <c r="D253" s="8" t="s">
        <v>246</v>
      </c>
      <c r="E253" s="8" t="s">
        <v>246</v>
      </c>
      <c r="F253" s="8" t="s">
        <v>246</v>
      </c>
      <c r="G253" s="8" t="s">
        <v>246</v>
      </c>
      <c r="H253" s="8" t="s">
        <v>246</v>
      </c>
      <c r="I253" s="8" t="s">
        <v>246</v>
      </c>
      <c r="J253" s="8" t="s">
        <v>246</v>
      </c>
      <c r="K253" s="8" t="s">
        <v>246</v>
      </c>
      <c r="L253" s="8" t="s">
        <v>246</v>
      </c>
      <c r="M253" s="8" t="s">
        <v>246</v>
      </c>
      <c r="N253" s="8" t="s">
        <v>246</v>
      </c>
      <c r="O253" s="8" t="s">
        <v>246</v>
      </c>
      <c r="P253" s="8" t="s">
        <v>246</v>
      </c>
      <c r="Q253" s="8" t="s">
        <v>246</v>
      </c>
      <c r="R253" s="8" t="s">
        <v>246</v>
      </c>
      <c r="S253" s="8" t="s">
        <v>246</v>
      </c>
      <c r="T253" s="8" t="s">
        <v>246</v>
      </c>
      <c r="U253" s="8" t="s">
        <v>246</v>
      </c>
      <c r="V253" s="8" t="s">
        <v>246</v>
      </c>
    </row>
    <row r="254" spans="1:22" x14ac:dyDescent="0.25">
      <c r="A254" t="s">
        <v>247</v>
      </c>
      <c r="B254">
        <v>0</v>
      </c>
      <c r="C254">
        <v>0</v>
      </c>
      <c r="D254">
        <f t="shared" ref="D254:D279" si="131">B254+C254</f>
        <v>0</v>
      </c>
      <c r="E254">
        <f t="shared" ref="E254:E279" si="132">IF(V254&gt;0,ROUND((D254/V254) * 100, 4), "")</f>
        <v>0</v>
      </c>
      <c r="F254">
        <v>2</v>
      </c>
      <c r="G254">
        <v>1</v>
      </c>
      <c r="H254">
        <f t="shared" ref="H254:H279" si="133">F254+G254</f>
        <v>3</v>
      </c>
      <c r="I254">
        <f t="shared" ref="I254:I279" si="134">IF(V254&gt;0,ROUND((H254/V254) * 100, 4), "")</f>
        <v>75</v>
      </c>
      <c r="J254">
        <v>1</v>
      </c>
      <c r="K254">
        <v>0</v>
      </c>
      <c r="L254">
        <f t="shared" ref="L254:L279" si="135">J254+K254</f>
        <v>1</v>
      </c>
      <c r="M254">
        <f t="shared" ref="M254:M279" si="136">IF(V254&gt;0,ROUND((L254/V254) * 100, 4), "")</f>
        <v>25</v>
      </c>
      <c r="N254">
        <v>0</v>
      </c>
      <c r="O254">
        <v>0</v>
      </c>
      <c r="P254">
        <f t="shared" ref="P254:P279" si="137">N254+O254</f>
        <v>0</v>
      </c>
      <c r="Q254">
        <v>0</v>
      </c>
      <c r="R254">
        <v>0</v>
      </c>
      <c r="S254">
        <f t="shared" ref="S254:S279" si="138">Q254+R254</f>
        <v>0</v>
      </c>
      <c r="T254">
        <f t="shared" ref="T254:T279" si="139">B254+F254+J254</f>
        <v>3</v>
      </c>
      <c r="U254">
        <f t="shared" ref="U254:U279" si="140">C254+G254+K254</f>
        <v>1</v>
      </c>
      <c r="V254">
        <f t="shared" ref="V254:V279" si="141">T254+U254</f>
        <v>4</v>
      </c>
    </row>
    <row r="255" spans="1:22" x14ac:dyDescent="0.25">
      <c r="A255" t="s">
        <v>248</v>
      </c>
      <c r="B255">
        <v>0</v>
      </c>
      <c r="C255">
        <v>0</v>
      </c>
      <c r="D255">
        <f t="shared" si="131"/>
        <v>0</v>
      </c>
      <c r="E255" t="str">
        <f t="shared" si="132"/>
        <v/>
      </c>
      <c r="F255">
        <v>0</v>
      </c>
      <c r="G255">
        <v>0</v>
      </c>
      <c r="H255">
        <f t="shared" si="133"/>
        <v>0</v>
      </c>
      <c r="I255" t="str">
        <f t="shared" si="134"/>
        <v/>
      </c>
      <c r="J255">
        <v>0</v>
      </c>
      <c r="K255">
        <v>0</v>
      </c>
      <c r="L255">
        <f t="shared" si="135"/>
        <v>0</v>
      </c>
      <c r="M255" t="str">
        <f t="shared" si="136"/>
        <v/>
      </c>
      <c r="N255">
        <v>0</v>
      </c>
      <c r="O255">
        <v>0</v>
      </c>
      <c r="P255">
        <f t="shared" si="137"/>
        <v>0</v>
      </c>
      <c r="Q255">
        <v>0</v>
      </c>
      <c r="R255">
        <v>0</v>
      </c>
      <c r="S255">
        <f t="shared" si="138"/>
        <v>0</v>
      </c>
      <c r="T255">
        <f t="shared" si="139"/>
        <v>0</v>
      </c>
      <c r="U255">
        <f t="shared" si="140"/>
        <v>0</v>
      </c>
      <c r="V255">
        <f t="shared" si="141"/>
        <v>0</v>
      </c>
    </row>
    <row r="256" spans="1:22" x14ac:dyDescent="0.25">
      <c r="A256" t="s">
        <v>249</v>
      </c>
      <c r="B256">
        <v>0</v>
      </c>
      <c r="C256">
        <v>0</v>
      </c>
      <c r="D256">
        <f t="shared" si="131"/>
        <v>0</v>
      </c>
      <c r="E256" t="str">
        <f t="shared" si="132"/>
        <v/>
      </c>
      <c r="F256">
        <v>0</v>
      </c>
      <c r="G256">
        <v>0</v>
      </c>
      <c r="H256">
        <f t="shared" si="133"/>
        <v>0</v>
      </c>
      <c r="I256" t="str">
        <f t="shared" si="134"/>
        <v/>
      </c>
      <c r="J256">
        <v>0</v>
      </c>
      <c r="K256">
        <v>0</v>
      </c>
      <c r="L256">
        <f t="shared" si="135"/>
        <v>0</v>
      </c>
      <c r="M256" t="str">
        <f t="shared" si="136"/>
        <v/>
      </c>
      <c r="N256">
        <v>1</v>
      </c>
      <c r="O256">
        <v>0</v>
      </c>
      <c r="P256">
        <f t="shared" si="137"/>
        <v>1</v>
      </c>
      <c r="Q256">
        <v>0</v>
      </c>
      <c r="R256">
        <v>0</v>
      </c>
      <c r="S256">
        <f t="shared" si="138"/>
        <v>0</v>
      </c>
      <c r="T256">
        <f t="shared" si="139"/>
        <v>0</v>
      </c>
      <c r="U256">
        <f t="shared" si="140"/>
        <v>0</v>
      </c>
      <c r="V256">
        <f t="shared" si="141"/>
        <v>0</v>
      </c>
    </row>
    <row r="257" spans="1:22" x14ac:dyDescent="0.25">
      <c r="A257" t="s">
        <v>250</v>
      </c>
      <c r="B257">
        <v>0</v>
      </c>
      <c r="C257">
        <v>0</v>
      </c>
      <c r="D257">
        <f t="shared" si="131"/>
        <v>0</v>
      </c>
      <c r="E257">
        <f t="shared" si="132"/>
        <v>0</v>
      </c>
      <c r="F257">
        <v>0</v>
      </c>
      <c r="G257">
        <v>0</v>
      </c>
      <c r="H257">
        <f t="shared" si="133"/>
        <v>0</v>
      </c>
      <c r="I257">
        <f t="shared" si="134"/>
        <v>0</v>
      </c>
      <c r="J257">
        <v>0</v>
      </c>
      <c r="K257">
        <v>3</v>
      </c>
      <c r="L257">
        <f t="shared" si="135"/>
        <v>3</v>
      </c>
      <c r="M257">
        <f t="shared" si="136"/>
        <v>100</v>
      </c>
      <c r="N257">
        <v>0</v>
      </c>
      <c r="O257">
        <v>0</v>
      </c>
      <c r="P257">
        <f t="shared" si="137"/>
        <v>0</v>
      </c>
      <c r="Q257">
        <v>0</v>
      </c>
      <c r="R257">
        <v>0</v>
      </c>
      <c r="S257">
        <f t="shared" si="138"/>
        <v>0</v>
      </c>
      <c r="T257">
        <f t="shared" si="139"/>
        <v>0</v>
      </c>
      <c r="U257">
        <f t="shared" si="140"/>
        <v>3</v>
      </c>
      <c r="V257">
        <f t="shared" si="141"/>
        <v>3</v>
      </c>
    </row>
    <row r="258" spans="1:22" x14ac:dyDescent="0.25">
      <c r="A258" t="s">
        <v>251</v>
      </c>
      <c r="B258">
        <v>1</v>
      </c>
      <c r="C258">
        <v>0</v>
      </c>
      <c r="D258">
        <f t="shared" si="131"/>
        <v>1</v>
      </c>
      <c r="E258">
        <f t="shared" si="132"/>
        <v>14.2857</v>
      </c>
      <c r="F258">
        <v>1</v>
      </c>
      <c r="G258">
        <v>3</v>
      </c>
      <c r="H258">
        <f t="shared" si="133"/>
        <v>4</v>
      </c>
      <c r="I258">
        <f t="shared" si="134"/>
        <v>57.142899999999997</v>
      </c>
      <c r="J258">
        <v>1</v>
      </c>
      <c r="K258">
        <v>1</v>
      </c>
      <c r="L258">
        <f t="shared" si="135"/>
        <v>2</v>
      </c>
      <c r="M258">
        <f t="shared" si="136"/>
        <v>28.571400000000001</v>
      </c>
      <c r="N258">
        <v>0</v>
      </c>
      <c r="O258">
        <v>0</v>
      </c>
      <c r="P258">
        <f t="shared" si="137"/>
        <v>0</v>
      </c>
      <c r="Q258">
        <v>0</v>
      </c>
      <c r="R258">
        <v>1</v>
      </c>
      <c r="S258">
        <f t="shared" si="138"/>
        <v>1</v>
      </c>
      <c r="T258">
        <f t="shared" si="139"/>
        <v>3</v>
      </c>
      <c r="U258">
        <f t="shared" si="140"/>
        <v>4</v>
      </c>
      <c r="V258">
        <f t="shared" si="141"/>
        <v>7</v>
      </c>
    </row>
    <row r="259" spans="1:22" x14ac:dyDescent="0.25">
      <c r="A259" t="s">
        <v>252</v>
      </c>
      <c r="B259">
        <v>0</v>
      </c>
      <c r="C259">
        <v>8</v>
      </c>
      <c r="D259">
        <f t="shared" si="131"/>
        <v>8</v>
      </c>
      <c r="E259">
        <f t="shared" si="132"/>
        <v>19.5122</v>
      </c>
      <c r="F259">
        <v>0</v>
      </c>
      <c r="G259">
        <v>17</v>
      </c>
      <c r="H259">
        <f t="shared" si="133"/>
        <v>17</v>
      </c>
      <c r="I259">
        <f t="shared" si="134"/>
        <v>41.4634</v>
      </c>
      <c r="J259">
        <v>0</v>
      </c>
      <c r="K259">
        <v>16</v>
      </c>
      <c r="L259">
        <f t="shared" si="135"/>
        <v>16</v>
      </c>
      <c r="M259">
        <f t="shared" si="136"/>
        <v>39.0244</v>
      </c>
      <c r="N259">
        <v>0</v>
      </c>
      <c r="O259">
        <v>5</v>
      </c>
      <c r="P259">
        <f t="shared" si="137"/>
        <v>5</v>
      </c>
      <c r="Q259">
        <v>0</v>
      </c>
      <c r="R259">
        <v>8</v>
      </c>
      <c r="S259">
        <f t="shared" si="138"/>
        <v>8</v>
      </c>
      <c r="T259">
        <f t="shared" si="139"/>
        <v>0</v>
      </c>
      <c r="U259">
        <f t="shared" si="140"/>
        <v>41</v>
      </c>
      <c r="V259">
        <f t="shared" si="141"/>
        <v>41</v>
      </c>
    </row>
    <row r="260" spans="1:22" x14ac:dyDescent="0.25">
      <c r="A260" t="s">
        <v>253</v>
      </c>
      <c r="B260">
        <v>0</v>
      </c>
      <c r="C260">
        <v>0</v>
      </c>
      <c r="D260">
        <f t="shared" si="131"/>
        <v>0</v>
      </c>
      <c r="E260" t="str">
        <f t="shared" si="132"/>
        <v/>
      </c>
      <c r="F260">
        <v>0</v>
      </c>
      <c r="G260">
        <v>0</v>
      </c>
      <c r="H260">
        <f t="shared" si="133"/>
        <v>0</v>
      </c>
      <c r="I260" t="str">
        <f t="shared" si="134"/>
        <v/>
      </c>
      <c r="J260">
        <v>0</v>
      </c>
      <c r="K260">
        <v>0</v>
      </c>
      <c r="L260">
        <f t="shared" si="135"/>
        <v>0</v>
      </c>
      <c r="M260" t="str">
        <f t="shared" si="136"/>
        <v/>
      </c>
      <c r="N260">
        <v>0</v>
      </c>
      <c r="O260">
        <v>0</v>
      </c>
      <c r="P260">
        <f t="shared" si="137"/>
        <v>0</v>
      </c>
      <c r="Q260">
        <v>0</v>
      </c>
      <c r="R260">
        <v>0</v>
      </c>
      <c r="S260">
        <f t="shared" si="138"/>
        <v>0</v>
      </c>
      <c r="T260">
        <f t="shared" si="139"/>
        <v>0</v>
      </c>
      <c r="U260">
        <f t="shared" si="140"/>
        <v>0</v>
      </c>
      <c r="V260">
        <f t="shared" si="141"/>
        <v>0</v>
      </c>
    </row>
    <row r="261" spans="1:22" x14ac:dyDescent="0.25">
      <c r="A261" t="s">
        <v>254</v>
      </c>
      <c r="B261">
        <v>0</v>
      </c>
      <c r="C261">
        <v>0</v>
      </c>
      <c r="D261">
        <f t="shared" si="131"/>
        <v>0</v>
      </c>
      <c r="E261" t="str">
        <f t="shared" si="132"/>
        <v/>
      </c>
      <c r="F261">
        <v>0</v>
      </c>
      <c r="G261">
        <v>0</v>
      </c>
      <c r="H261">
        <f t="shared" si="133"/>
        <v>0</v>
      </c>
      <c r="I261" t="str">
        <f t="shared" si="134"/>
        <v/>
      </c>
      <c r="J261">
        <v>0</v>
      </c>
      <c r="K261">
        <v>0</v>
      </c>
      <c r="L261">
        <f t="shared" si="135"/>
        <v>0</v>
      </c>
      <c r="M261" t="str">
        <f t="shared" si="136"/>
        <v/>
      </c>
      <c r="N261">
        <v>0</v>
      </c>
      <c r="O261">
        <v>0</v>
      </c>
      <c r="P261">
        <f t="shared" si="137"/>
        <v>0</v>
      </c>
      <c r="Q261">
        <v>0</v>
      </c>
      <c r="R261">
        <v>0</v>
      </c>
      <c r="S261">
        <f t="shared" si="138"/>
        <v>0</v>
      </c>
      <c r="T261">
        <f t="shared" si="139"/>
        <v>0</v>
      </c>
      <c r="U261">
        <f t="shared" si="140"/>
        <v>0</v>
      </c>
      <c r="V261">
        <f t="shared" si="141"/>
        <v>0</v>
      </c>
    </row>
    <row r="262" spans="1:22" x14ac:dyDescent="0.25">
      <c r="A262" t="s">
        <v>255</v>
      </c>
      <c r="B262">
        <v>1</v>
      </c>
      <c r="C262">
        <v>9</v>
      </c>
      <c r="D262">
        <f t="shared" si="131"/>
        <v>10</v>
      </c>
      <c r="E262">
        <f t="shared" si="132"/>
        <v>5.6818</v>
      </c>
      <c r="F262">
        <v>5</v>
      </c>
      <c r="G262">
        <v>80</v>
      </c>
      <c r="H262">
        <f t="shared" si="133"/>
        <v>85</v>
      </c>
      <c r="I262">
        <f t="shared" si="134"/>
        <v>48.295499999999997</v>
      </c>
      <c r="J262">
        <v>3</v>
      </c>
      <c r="K262">
        <v>78</v>
      </c>
      <c r="L262">
        <f t="shared" si="135"/>
        <v>81</v>
      </c>
      <c r="M262">
        <f t="shared" si="136"/>
        <v>46.0227</v>
      </c>
      <c r="N262">
        <v>2</v>
      </c>
      <c r="O262">
        <v>18</v>
      </c>
      <c r="P262">
        <f t="shared" si="137"/>
        <v>20</v>
      </c>
      <c r="Q262">
        <v>1</v>
      </c>
      <c r="R262">
        <v>36</v>
      </c>
      <c r="S262">
        <f t="shared" si="138"/>
        <v>37</v>
      </c>
      <c r="T262">
        <f t="shared" si="139"/>
        <v>9</v>
      </c>
      <c r="U262">
        <f t="shared" si="140"/>
        <v>167</v>
      </c>
      <c r="V262">
        <f t="shared" si="141"/>
        <v>176</v>
      </c>
    </row>
    <row r="263" spans="1:22" x14ac:dyDescent="0.25">
      <c r="A263" t="s">
        <v>256</v>
      </c>
      <c r="B263">
        <v>0</v>
      </c>
      <c r="C263">
        <v>0</v>
      </c>
      <c r="D263">
        <f t="shared" si="131"/>
        <v>0</v>
      </c>
      <c r="E263" t="str">
        <f t="shared" si="132"/>
        <v/>
      </c>
      <c r="F263">
        <v>0</v>
      </c>
      <c r="G263">
        <v>0</v>
      </c>
      <c r="H263">
        <f t="shared" si="133"/>
        <v>0</v>
      </c>
      <c r="I263" t="str">
        <f t="shared" si="134"/>
        <v/>
      </c>
      <c r="J263">
        <v>0</v>
      </c>
      <c r="K263">
        <v>0</v>
      </c>
      <c r="L263">
        <f t="shared" si="135"/>
        <v>0</v>
      </c>
      <c r="M263" t="str">
        <f t="shared" si="136"/>
        <v/>
      </c>
      <c r="N263">
        <v>0</v>
      </c>
      <c r="O263">
        <v>0</v>
      </c>
      <c r="P263">
        <f t="shared" si="137"/>
        <v>0</v>
      </c>
      <c r="Q263">
        <v>0</v>
      </c>
      <c r="R263">
        <v>0</v>
      </c>
      <c r="S263">
        <f t="shared" si="138"/>
        <v>0</v>
      </c>
      <c r="T263">
        <f t="shared" si="139"/>
        <v>0</v>
      </c>
      <c r="U263">
        <f t="shared" si="140"/>
        <v>0</v>
      </c>
      <c r="V263">
        <f t="shared" si="141"/>
        <v>0</v>
      </c>
    </row>
    <row r="264" spans="1:22" x14ac:dyDescent="0.25">
      <c r="A264" t="s">
        <v>257</v>
      </c>
      <c r="B264">
        <v>0</v>
      </c>
      <c r="C264">
        <v>1</v>
      </c>
      <c r="D264">
        <f t="shared" si="131"/>
        <v>1</v>
      </c>
      <c r="E264">
        <f t="shared" si="132"/>
        <v>50</v>
      </c>
      <c r="F264">
        <v>0</v>
      </c>
      <c r="G264">
        <v>1</v>
      </c>
      <c r="H264">
        <f t="shared" si="133"/>
        <v>1</v>
      </c>
      <c r="I264">
        <f t="shared" si="134"/>
        <v>50</v>
      </c>
      <c r="J264">
        <v>0</v>
      </c>
      <c r="K264">
        <v>0</v>
      </c>
      <c r="L264">
        <f t="shared" si="135"/>
        <v>0</v>
      </c>
      <c r="M264">
        <f t="shared" si="136"/>
        <v>0</v>
      </c>
      <c r="N264">
        <v>0</v>
      </c>
      <c r="O264">
        <v>0</v>
      </c>
      <c r="P264">
        <f t="shared" si="137"/>
        <v>0</v>
      </c>
      <c r="Q264">
        <v>0</v>
      </c>
      <c r="R264">
        <v>0</v>
      </c>
      <c r="S264">
        <f t="shared" si="138"/>
        <v>0</v>
      </c>
      <c r="T264">
        <f t="shared" si="139"/>
        <v>0</v>
      </c>
      <c r="U264">
        <f t="shared" si="140"/>
        <v>2</v>
      </c>
      <c r="V264">
        <f t="shared" si="141"/>
        <v>2</v>
      </c>
    </row>
    <row r="265" spans="1:22" x14ac:dyDescent="0.25">
      <c r="A265" t="s">
        <v>258</v>
      </c>
      <c r="B265">
        <v>0</v>
      </c>
      <c r="C265">
        <v>4</v>
      </c>
      <c r="D265">
        <f t="shared" si="131"/>
        <v>4</v>
      </c>
      <c r="E265">
        <f t="shared" si="132"/>
        <v>57.142899999999997</v>
      </c>
      <c r="F265">
        <v>0</v>
      </c>
      <c r="G265">
        <v>2</v>
      </c>
      <c r="H265">
        <f t="shared" si="133"/>
        <v>2</v>
      </c>
      <c r="I265">
        <f t="shared" si="134"/>
        <v>28.571400000000001</v>
      </c>
      <c r="J265">
        <v>0</v>
      </c>
      <c r="K265">
        <v>1</v>
      </c>
      <c r="L265">
        <f t="shared" si="135"/>
        <v>1</v>
      </c>
      <c r="M265">
        <f t="shared" si="136"/>
        <v>14.2857</v>
      </c>
      <c r="N265">
        <v>0</v>
      </c>
      <c r="O265">
        <v>0</v>
      </c>
      <c r="P265">
        <f t="shared" si="137"/>
        <v>0</v>
      </c>
      <c r="Q265">
        <v>0</v>
      </c>
      <c r="R265">
        <v>0</v>
      </c>
      <c r="S265">
        <f t="shared" si="138"/>
        <v>0</v>
      </c>
      <c r="T265">
        <f t="shared" si="139"/>
        <v>0</v>
      </c>
      <c r="U265">
        <f t="shared" si="140"/>
        <v>7</v>
      </c>
      <c r="V265">
        <f t="shared" si="141"/>
        <v>7</v>
      </c>
    </row>
    <row r="266" spans="1:22" x14ac:dyDescent="0.25">
      <c r="A266" t="s">
        <v>259</v>
      </c>
      <c r="B266">
        <v>0</v>
      </c>
      <c r="C266">
        <v>0</v>
      </c>
      <c r="D266">
        <f t="shared" si="131"/>
        <v>0</v>
      </c>
      <c r="E266">
        <f t="shared" si="132"/>
        <v>0</v>
      </c>
      <c r="F266">
        <v>3</v>
      </c>
      <c r="G266">
        <v>0</v>
      </c>
      <c r="H266">
        <f t="shared" si="133"/>
        <v>3</v>
      </c>
      <c r="I266">
        <f t="shared" si="134"/>
        <v>75</v>
      </c>
      <c r="J266">
        <v>0</v>
      </c>
      <c r="K266">
        <v>1</v>
      </c>
      <c r="L266">
        <f t="shared" si="135"/>
        <v>1</v>
      </c>
      <c r="M266">
        <f t="shared" si="136"/>
        <v>25</v>
      </c>
      <c r="N266">
        <v>0</v>
      </c>
      <c r="O266">
        <v>0</v>
      </c>
      <c r="P266">
        <f t="shared" si="137"/>
        <v>0</v>
      </c>
      <c r="Q266">
        <v>2</v>
      </c>
      <c r="R266">
        <v>0</v>
      </c>
      <c r="S266">
        <f t="shared" si="138"/>
        <v>2</v>
      </c>
      <c r="T266">
        <f t="shared" si="139"/>
        <v>3</v>
      </c>
      <c r="U266">
        <f t="shared" si="140"/>
        <v>1</v>
      </c>
      <c r="V266">
        <f t="shared" si="141"/>
        <v>4</v>
      </c>
    </row>
    <row r="267" spans="1:22" x14ac:dyDescent="0.25">
      <c r="A267" t="s">
        <v>260</v>
      </c>
      <c r="B267">
        <v>0</v>
      </c>
      <c r="C267">
        <v>0</v>
      </c>
      <c r="D267">
        <f t="shared" si="131"/>
        <v>0</v>
      </c>
      <c r="E267">
        <f t="shared" si="132"/>
        <v>0</v>
      </c>
      <c r="F267">
        <v>0</v>
      </c>
      <c r="G267">
        <v>1</v>
      </c>
      <c r="H267">
        <f t="shared" si="133"/>
        <v>1</v>
      </c>
      <c r="I267">
        <f t="shared" si="134"/>
        <v>100</v>
      </c>
      <c r="J267">
        <v>0</v>
      </c>
      <c r="K267">
        <v>0</v>
      </c>
      <c r="L267">
        <f t="shared" si="135"/>
        <v>0</v>
      </c>
      <c r="M267">
        <f t="shared" si="136"/>
        <v>0</v>
      </c>
      <c r="N267">
        <v>0</v>
      </c>
      <c r="O267">
        <v>0</v>
      </c>
      <c r="P267">
        <f t="shared" si="137"/>
        <v>0</v>
      </c>
      <c r="Q267">
        <v>0</v>
      </c>
      <c r="R267">
        <v>0</v>
      </c>
      <c r="S267">
        <f t="shared" si="138"/>
        <v>0</v>
      </c>
      <c r="T267">
        <f t="shared" si="139"/>
        <v>0</v>
      </c>
      <c r="U267">
        <f t="shared" si="140"/>
        <v>1</v>
      </c>
      <c r="V267">
        <f t="shared" si="141"/>
        <v>1</v>
      </c>
    </row>
    <row r="268" spans="1:22" x14ac:dyDescent="0.25">
      <c r="A268" t="s">
        <v>261</v>
      </c>
      <c r="B268">
        <v>0</v>
      </c>
      <c r="C268">
        <v>0</v>
      </c>
      <c r="D268">
        <f t="shared" si="131"/>
        <v>0</v>
      </c>
      <c r="E268" t="str">
        <f t="shared" si="132"/>
        <v/>
      </c>
      <c r="F268">
        <v>0</v>
      </c>
      <c r="G268">
        <v>0</v>
      </c>
      <c r="H268">
        <f t="shared" si="133"/>
        <v>0</v>
      </c>
      <c r="I268" t="str">
        <f t="shared" si="134"/>
        <v/>
      </c>
      <c r="J268">
        <v>0</v>
      </c>
      <c r="K268">
        <v>0</v>
      </c>
      <c r="L268">
        <f t="shared" si="135"/>
        <v>0</v>
      </c>
      <c r="M268" t="str">
        <f t="shared" si="136"/>
        <v/>
      </c>
      <c r="N268">
        <v>0</v>
      </c>
      <c r="O268">
        <v>0</v>
      </c>
      <c r="P268">
        <f t="shared" si="137"/>
        <v>0</v>
      </c>
      <c r="Q268">
        <v>0</v>
      </c>
      <c r="R268">
        <v>0</v>
      </c>
      <c r="S268">
        <f t="shared" si="138"/>
        <v>0</v>
      </c>
      <c r="T268">
        <f t="shared" si="139"/>
        <v>0</v>
      </c>
      <c r="U268">
        <f t="shared" si="140"/>
        <v>0</v>
      </c>
      <c r="V268">
        <f t="shared" si="141"/>
        <v>0</v>
      </c>
    </row>
    <row r="269" spans="1:22" x14ac:dyDescent="0.25">
      <c r="A269" t="s">
        <v>262</v>
      </c>
      <c r="B269">
        <v>0</v>
      </c>
      <c r="C269">
        <v>0</v>
      </c>
      <c r="D269">
        <f t="shared" si="131"/>
        <v>0</v>
      </c>
      <c r="E269">
        <f t="shared" si="132"/>
        <v>0</v>
      </c>
      <c r="F269">
        <v>1</v>
      </c>
      <c r="G269">
        <v>0</v>
      </c>
      <c r="H269">
        <f t="shared" si="133"/>
        <v>1</v>
      </c>
      <c r="I269">
        <f t="shared" si="134"/>
        <v>100</v>
      </c>
      <c r="J269">
        <v>0</v>
      </c>
      <c r="K269">
        <v>0</v>
      </c>
      <c r="L269">
        <f t="shared" si="135"/>
        <v>0</v>
      </c>
      <c r="M269">
        <f t="shared" si="136"/>
        <v>0</v>
      </c>
      <c r="N269">
        <v>0</v>
      </c>
      <c r="O269">
        <v>0</v>
      </c>
      <c r="P269">
        <f t="shared" si="137"/>
        <v>0</v>
      </c>
      <c r="Q269">
        <v>0</v>
      </c>
      <c r="R269">
        <v>0</v>
      </c>
      <c r="S269">
        <f t="shared" si="138"/>
        <v>0</v>
      </c>
      <c r="T269">
        <f t="shared" si="139"/>
        <v>1</v>
      </c>
      <c r="U269">
        <f t="shared" si="140"/>
        <v>0</v>
      </c>
      <c r="V269">
        <f t="shared" si="141"/>
        <v>1</v>
      </c>
    </row>
    <row r="270" spans="1:22" x14ac:dyDescent="0.25">
      <c r="A270" t="s">
        <v>263</v>
      </c>
      <c r="B270">
        <v>0</v>
      </c>
      <c r="C270">
        <v>5</v>
      </c>
      <c r="D270">
        <f t="shared" si="131"/>
        <v>5</v>
      </c>
      <c r="E270">
        <f t="shared" si="132"/>
        <v>17.241399999999999</v>
      </c>
      <c r="F270">
        <v>3</v>
      </c>
      <c r="G270">
        <v>15</v>
      </c>
      <c r="H270">
        <f t="shared" si="133"/>
        <v>18</v>
      </c>
      <c r="I270">
        <f t="shared" si="134"/>
        <v>62.069000000000003</v>
      </c>
      <c r="J270">
        <v>2</v>
      </c>
      <c r="K270">
        <v>4</v>
      </c>
      <c r="L270">
        <f t="shared" si="135"/>
        <v>6</v>
      </c>
      <c r="M270">
        <f t="shared" si="136"/>
        <v>20.689699999999998</v>
      </c>
      <c r="N270">
        <v>1</v>
      </c>
      <c r="O270">
        <v>2</v>
      </c>
      <c r="P270">
        <f t="shared" si="137"/>
        <v>3</v>
      </c>
      <c r="Q270">
        <v>1</v>
      </c>
      <c r="R270">
        <v>10</v>
      </c>
      <c r="S270">
        <f t="shared" si="138"/>
        <v>11</v>
      </c>
      <c r="T270">
        <f t="shared" si="139"/>
        <v>5</v>
      </c>
      <c r="U270">
        <f t="shared" si="140"/>
        <v>24</v>
      </c>
      <c r="V270">
        <f t="shared" si="141"/>
        <v>29</v>
      </c>
    </row>
    <row r="271" spans="1:22" x14ac:dyDescent="0.25">
      <c r="A271" t="s">
        <v>264</v>
      </c>
      <c r="B271">
        <v>0</v>
      </c>
      <c r="C271">
        <v>0</v>
      </c>
      <c r="D271">
        <f t="shared" si="131"/>
        <v>0</v>
      </c>
      <c r="E271">
        <f t="shared" si="132"/>
        <v>0</v>
      </c>
      <c r="F271">
        <v>0</v>
      </c>
      <c r="G271">
        <v>3</v>
      </c>
      <c r="H271">
        <f t="shared" si="133"/>
        <v>3</v>
      </c>
      <c r="I271">
        <f t="shared" si="134"/>
        <v>75</v>
      </c>
      <c r="J271">
        <v>0</v>
      </c>
      <c r="K271">
        <v>1</v>
      </c>
      <c r="L271">
        <f t="shared" si="135"/>
        <v>1</v>
      </c>
      <c r="M271">
        <f t="shared" si="136"/>
        <v>25</v>
      </c>
      <c r="N271">
        <v>0</v>
      </c>
      <c r="O271">
        <v>0</v>
      </c>
      <c r="P271">
        <f t="shared" si="137"/>
        <v>0</v>
      </c>
      <c r="Q271">
        <v>0</v>
      </c>
      <c r="R271">
        <v>0</v>
      </c>
      <c r="S271">
        <f t="shared" si="138"/>
        <v>0</v>
      </c>
      <c r="T271">
        <f t="shared" si="139"/>
        <v>0</v>
      </c>
      <c r="U271">
        <f t="shared" si="140"/>
        <v>4</v>
      </c>
      <c r="V271">
        <f t="shared" si="141"/>
        <v>4</v>
      </c>
    </row>
    <row r="272" spans="1:22" x14ac:dyDescent="0.25">
      <c r="A272" t="s">
        <v>265</v>
      </c>
      <c r="B272">
        <v>0</v>
      </c>
      <c r="C272">
        <v>0</v>
      </c>
      <c r="D272">
        <f t="shared" si="131"/>
        <v>0</v>
      </c>
      <c r="E272">
        <f t="shared" si="132"/>
        <v>0</v>
      </c>
      <c r="F272">
        <v>1</v>
      </c>
      <c r="G272">
        <v>2</v>
      </c>
      <c r="H272">
        <f t="shared" si="133"/>
        <v>3</v>
      </c>
      <c r="I272">
        <f t="shared" si="134"/>
        <v>100</v>
      </c>
      <c r="J272">
        <v>0</v>
      </c>
      <c r="K272">
        <v>0</v>
      </c>
      <c r="L272">
        <f t="shared" si="135"/>
        <v>0</v>
      </c>
      <c r="M272">
        <f t="shared" si="136"/>
        <v>0</v>
      </c>
      <c r="N272">
        <v>0</v>
      </c>
      <c r="O272">
        <v>0</v>
      </c>
      <c r="P272">
        <f t="shared" si="137"/>
        <v>0</v>
      </c>
      <c r="Q272">
        <v>0</v>
      </c>
      <c r="R272">
        <v>0</v>
      </c>
      <c r="S272">
        <f t="shared" si="138"/>
        <v>0</v>
      </c>
      <c r="T272">
        <f t="shared" si="139"/>
        <v>1</v>
      </c>
      <c r="U272">
        <f t="shared" si="140"/>
        <v>2</v>
      </c>
      <c r="V272">
        <f t="shared" si="141"/>
        <v>3</v>
      </c>
    </row>
    <row r="273" spans="1:22" x14ac:dyDescent="0.25">
      <c r="A273" t="s">
        <v>266</v>
      </c>
      <c r="B273">
        <v>1</v>
      </c>
      <c r="C273">
        <v>3</v>
      </c>
      <c r="D273">
        <f t="shared" si="131"/>
        <v>4</v>
      </c>
      <c r="E273">
        <f t="shared" si="132"/>
        <v>15.384600000000001</v>
      </c>
      <c r="F273">
        <v>0</v>
      </c>
      <c r="G273">
        <v>0</v>
      </c>
      <c r="H273">
        <f t="shared" si="133"/>
        <v>0</v>
      </c>
      <c r="I273">
        <f t="shared" si="134"/>
        <v>0</v>
      </c>
      <c r="J273">
        <v>4</v>
      </c>
      <c r="K273">
        <v>18</v>
      </c>
      <c r="L273">
        <f t="shared" si="135"/>
        <v>22</v>
      </c>
      <c r="M273">
        <f t="shared" si="136"/>
        <v>84.615399999999994</v>
      </c>
      <c r="N273">
        <v>0</v>
      </c>
      <c r="O273">
        <v>2</v>
      </c>
      <c r="P273">
        <f t="shared" si="137"/>
        <v>2</v>
      </c>
      <c r="Q273">
        <v>0</v>
      </c>
      <c r="R273">
        <v>5</v>
      </c>
      <c r="S273">
        <f t="shared" si="138"/>
        <v>5</v>
      </c>
      <c r="T273">
        <f t="shared" si="139"/>
        <v>5</v>
      </c>
      <c r="U273">
        <f t="shared" si="140"/>
        <v>21</v>
      </c>
      <c r="V273">
        <f t="shared" si="141"/>
        <v>26</v>
      </c>
    </row>
    <row r="274" spans="1:22" x14ac:dyDescent="0.25">
      <c r="A274" t="s">
        <v>267</v>
      </c>
      <c r="B274">
        <v>0</v>
      </c>
      <c r="C274">
        <v>3</v>
      </c>
      <c r="D274">
        <f t="shared" si="131"/>
        <v>3</v>
      </c>
      <c r="E274">
        <f t="shared" si="132"/>
        <v>33.333300000000001</v>
      </c>
      <c r="F274">
        <v>0</v>
      </c>
      <c r="G274">
        <v>5</v>
      </c>
      <c r="H274">
        <f t="shared" si="133"/>
        <v>5</v>
      </c>
      <c r="I274">
        <f t="shared" si="134"/>
        <v>55.555599999999998</v>
      </c>
      <c r="J274">
        <v>0</v>
      </c>
      <c r="K274">
        <v>1</v>
      </c>
      <c r="L274">
        <f t="shared" si="135"/>
        <v>1</v>
      </c>
      <c r="M274">
        <f t="shared" si="136"/>
        <v>11.1111</v>
      </c>
      <c r="N274">
        <v>0</v>
      </c>
      <c r="O274">
        <v>0</v>
      </c>
      <c r="P274">
        <f t="shared" si="137"/>
        <v>0</v>
      </c>
      <c r="Q274">
        <v>0</v>
      </c>
      <c r="R274">
        <v>4</v>
      </c>
      <c r="S274">
        <f t="shared" si="138"/>
        <v>4</v>
      </c>
      <c r="T274">
        <f t="shared" si="139"/>
        <v>0</v>
      </c>
      <c r="U274">
        <f t="shared" si="140"/>
        <v>9</v>
      </c>
      <c r="V274">
        <f t="shared" si="141"/>
        <v>9</v>
      </c>
    </row>
    <row r="275" spans="1:22" x14ac:dyDescent="0.25">
      <c r="A275" t="s">
        <v>268</v>
      </c>
      <c r="B275">
        <v>0</v>
      </c>
      <c r="C275">
        <v>0</v>
      </c>
      <c r="D275">
        <f t="shared" si="131"/>
        <v>0</v>
      </c>
      <c r="E275">
        <f t="shared" si="132"/>
        <v>0</v>
      </c>
      <c r="F275">
        <v>0</v>
      </c>
      <c r="G275">
        <v>15</v>
      </c>
      <c r="H275">
        <f t="shared" si="133"/>
        <v>15</v>
      </c>
      <c r="I275">
        <f t="shared" si="134"/>
        <v>40.540500000000002</v>
      </c>
      <c r="J275">
        <v>0</v>
      </c>
      <c r="K275">
        <v>22</v>
      </c>
      <c r="L275">
        <f t="shared" si="135"/>
        <v>22</v>
      </c>
      <c r="M275">
        <f t="shared" si="136"/>
        <v>59.459499999999998</v>
      </c>
      <c r="N275">
        <v>0</v>
      </c>
      <c r="O275">
        <v>18</v>
      </c>
      <c r="P275">
        <f t="shared" si="137"/>
        <v>18</v>
      </c>
      <c r="Q275">
        <v>0</v>
      </c>
      <c r="R275">
        <v>1</v>
      </c>
      <c r="S275">
        <f t="shared" si="138"/>
        <v>1</v>
      </c>
      <c r="T275">
        <f t="shared" si="139"/>
        <v>0</v>
      </c>
      <c r="U275">
        <f t="shared" si="140"/>
        <v>37</v>
      </c>
      <c r="V275">
        <f t="shared" si="141"/>
        <v>37</v>
      </c>
    </row>
    <row r="276" spans="1:22" x14ac:dyDescent="0.25">
      <c r="A276" t="s">
        <v>269</v>
      </c>
      <c r="B276">
        <v>1</v>
      </c>
      <c r="C276">
        <v>1</v>
      </c>
      <c r="D276">
        <f t="shared" si="131"/>
        <v>2</v>
      </c>
      <c r="E276">
        <f t="shared" si="132"/>
        <v>50</v>
      </c>
      <c r="F276">
        <v>0</v>
      </c>
      <c r="G276">
        <v>2</v>
      </c>
      <c r="H276">
        <f t="shared" si="133"/>
        <v>2</v>
      </c>
      <c r="I276">
        <f t="shared" si="134"/>
        <v>50</v>
      </c>
      <c r="J276">
        <v>0</v>
      </c>
      <c r="K276">
        <v>0</v>
      </c>
      <c r="L276">
        <f t="shared" si="135"/>
        <v>0</v>
      </c>
      <c r="M276">
        <f t="shared" si="136"/>
        <v>0</v>
      </c>
      <c r="N276">
        <v>0</v>
      </c>
      <c r="O276">
        <v>0</v>
      </c>
      <c r="P276">
        <f t="shared" si="137"/>
        <v>0</v>
      </c>
      <c r="Q276">
        <v>0</v>
      </c>
      <c r="R276">
        <v>0</v>
      </c>
      <c r="S276">
        <f t="shared" si="138"/>
        <v>0</v>
      </c>
      <c r="T276">
        <f t="shared" si="139"/>
        <v>1</v>
      </c>
      <c r="U276">
        <f t="shared" si="140"/>
        <v>3</v>
      </c>
      <c r="V276">
        <f t="shared" si="141"/>
        <v>4</v>
      </c>
    </row>
    <row r="277" spans="1:22" x14ac:dyDescent="0.25">
      <c r="A277" t="s">
        <v>270</v>
      </c>
      <c r="B277">
        <v>0</v>
      </c>
      <c r="C277">
        <v>0</v>
      </c>
      <c r="D277">
        <f t="shared" si="131"/>
        <v>0</v>
      </c>
      <c r="E277" t="str">
        <f t="shared" si="132"/>
        <v/>
      </c>
      <c r="F277">
        <v>0</v>
      </c>
      <c r="G277">
        <v>0</v>
      </c>
      <c r="H277">
        <f t="shared" si="133"/>
        <v>0</v>
      </c>
      <c r="I277" t="str">
        <f t="shared" si="134"/>
        <v/>
      </c>
      <c r="J277">
        <v>0</v>
      </c>
      <c r="K277">
        <v>0</v>
      </c>
      <c r="L277">
        <f t="shared" si="135"/>
        <v>0</v>
      </c>
      <c r="M277" t="str">
        <f t="shared" si="136"/>
        <v/>
      </c>
      <c r="N277">
        <v>0</v>
      </c>
      <c r="O277">
        <v>0</v>
      </c>
      <c r="P277">
        <f t="shared" si="137"/>
        <v>0</v>
      </c>
      <c r="Q277">
        <v>0</v>
      </c>
      <c r="R277">
        <v>0</v>
      </c>
      <c r="S277">
        <f t="shared" si="138"/>
        <v>0</v>
      </c>
      <c r="T277">
        <f t="shared" si="139"/>
        <v>0</v>
      </c>
      <c r="U277">
        <f t="shared" si="140"/>
        <v>0</v>
      </c>
      <c r="V277">
        <f t="shared" si="141"/>
        <v>0</v>
      </c>
    </row>
    <row r="278" spans="1:22" x14ac:dyDescent="0.25">
      <c r="A278" t="s">
        <v>271</v>
      </c>
      <c r="B278">
        <v>0</v>
      </c>
      <c r="C278">
        <v>2</v>
      </c>
      <c r="D278">
        <f t="shared" si="131"/>
        <v>2</v>
      </c>
      <c r="E278">
        <f t="shared" si="132"/>
        <v>66.666700000000006</v>
      </c>
      <c r="F278">
        <v>0</v>
      </c>
      <c r="G278">
        <v>1</v>
      </c>
      <c r="H278">
        <f t="shared" si="133"/>
        <v>1</v>
      </c>
      <c r="I278">
        <f t="shared" si="134"/>
        <v>33.333300000000001</v>
      </c>
      <c r="J278">
        <v>0</v>
      </c>
      <c r="K278">
        <v>0</v>
      </c>
      <c r="L278">
        <f t="shared" si="135"/>
        <v>0</v>
      </c>
      <c r="M278">
        <f t="shared" si="136"/>
        <v>0</v>
      </c>
      <c r="N278">
        <v>0</v>
      </c>
      <c r="O278">
        <v>0</v>
      </c>
      <c r="P278">
        <f t="shared" si="137"/>
        <v>0</v>
      </c>
      <c r="Q278">
        <v>0</v>
      </c>
      <c r="R278">
        <v>0</v>
      </c>
      <c r="S278">
        <f t="shared" si="138"/>
        <v>0</v>
      </c>
      <c r="T278">
        <f t="shared" si="139"/>
        <v>0</v>
      </c>
      <c r="U278">
        <f t="shared" si="140"/>
        <v>3</v>
      </c>
      <c r="V278">
        <f t="shared" si="141"/>
        <v>3</v>
      </c>
    </row>
    <row r="279" spans="1:22" x14ac:dyDescent="0.25">
      <c r="A279" t="s">
        <v>272</v>
      </c>
      <c r="B279">
        <v>0</v>
      </c>
      <c r="C279">
        <v>0</v>
      </c>
      <c r="D279">
        <f t="shared" si="131"/>
        <v>0</v>
      </c>
      <c r="E279" t="str">
        <f t="shared" si="132"/>
        <v/>
      </c>
      <c r="F279">
        <v>0</v>
      </c>
      <c r="G279">
        <v>0</v>
      </c>
      <c r="H279">
        <f t="shared" si="133"/>
        <v>0</v>
      </c>
      <c r="I279" t="str">
        <f t="shared" si="134"/>
        <v/>
      </c>
      <c r="J279">
        <v>0</v>
      </c>
      <c r="K279">
        <v>0</v>
      </c>
      <c r="L279">
        <f t="shared" si="135"/>
        <v>0</v>
      </c>
      <c r="M279" t="str">
        <f t="shared" si="136"/>
        <v/>
      </c>
      <c r="N279">
        <v>0</v>
      </c>
      <c r="O279">
        <v>0</v>
      </c>
      <c r="P279">
        <f t="shared" si="137"/>
        <v>0</v>
      </c>
      <c r="Q279">
        <v>0</v>
      </c>
      <c r="R279">
        <v>0</v>
      </c>
      <c r="S279">
        <f t="shared" si="138"/>
        <v>0</v>
      </c>
      <c r="T279">
        <f t="shared" si="139"/>
        <v>0</v>
      </c>
      <c r="U279">
        <f t="shared" si="140"/>
        <v>0</v>
      </c>
      <c r="V279">
        <f t="shared" si="141"/>
        <v>0</v>
      </c>
    </row>
    <row r="281" spans="1:22" x14ac:dyDescent="0.25">
      <c r="A281" s="8" t="s">
        <v>273</v>
      </c>
      <c r="B281" s="8" t="s">
        <v>273</v>
      </c>
      <c r="C281" s="8" t="s">
        <v>273</v>
      </c>
      <c r="D281" s="8" t="s">
        <v>273</v>
      </c>
      <c r="E281" s="8" t="s">
        <v>273</v>
      </c>
      <c r="F281" s="8" t="s">
        <v>273</v>
      </c>
      <c r="G281" s="8" t="s">
        <v>273</v>
      </c>
      <c r="H281" s="8" t="s">
        <v>273</v>
      </c>
      <c r="I281" s="8" t="s">
        <v>273</v>
      </c>
      <c r="J281" s="8" t="s">
        <v>273</v>
      </c>
      <c r="K281" s="8" t="s">
        <v>273</v>
      </c>
      <c r="L281" s="8" t="s">
        <v>273</v>
      </c>
      <c r="M281" s="8" t="s">
        <v>273</v>
      </c>
      <c r="N281" s="8" t="s">
        <v>273</v>
      </c>
      <c r="O281" s="8" t="s">
        <v>273</v>
      </c>
      <c r="P281" s="8" t="s">
        <v>273</v>
      </c>
      <c r="Q281" s="8" t="s">
        <v>273</v>
      </c>
      <c r="R281" s="8" t="s">
        <v>273</v>
      </c>
      <c r="S281" s="8" t="s">
        <v>273</v>
      </c>
      <c r="T281" s="8" t="s">
        <v>273</v>
      </c>
      <c r="U281" s="8" t="s">
        <v>273</v>
      </c>
      <c r="V281" s="8" t="s">
        <v>273</v>
      </c>
    </row>
    <row r="282" spans="1:22" x14ac:dyDescent="0.25">
      <c r="A282" t="s">
        <v>274</v>
      </c>
      <c r="B282">
        <v>0</v>
      </c>
      <c r="C282">
        <v>0</v>
      </c>
      <c r="D282">
        <f t="shared" ref="D282:D293" si="142">B282+C282</f>
        <v>0</v>
      </c>
      <c r="E282" t="str">
        <f t="shared" ref="E282:E293" si="143">IF(V282&gt;0,ROUND((D282/V282) * 100, 4), "")</f>
        <v/>
      </c>
      <c r="F282">
        <v>0</v>
      </c>
      <c r="G282">
        <v>0</v>
      </c>
      <c r="H282">
        <f t="shared" ref="H282:H293" si="144">F282+G282</f>
        <v>0</v>
      </c>
      <c r="I282" t="str">
        <f t="shared" ref="I282:I293" si="145">IF(V282&gt;0,ROUND((H282/V282) * 100, 4), "")</f>
        <v/>
      </c>
      <c r="J282">
        <v>0</v>
      </c>
      <c r="K282">
        <v>0</v>
      </c>
      <c r="L282">
        <f t="shared" ref="L282:L293" si="146">J282+K282</f>
        <v>0</v>
      </c>
      <c r="M282" t="str">
        <f t="shared" ref="M282:M293" si="147">IF(V282&gt;0,ROUND((L282/V282) * 100, 4), "")</f>
        <v/>
      </c>
      <c r="N282">
        <v>0</v>
      </c>
      <c r="O282">
        <v>0</v>
      </c>
      <c r="P282">
        <f t="shared" ref="P282:P293" si="148">N282+O282</f>
        <v>0</v>
      </c>
      <c r="Q282">
        <v>0</v>
      </c>
      <c r="R282">
        <v>0</v>
      </c>
      <c r="S282">
        <f t="shared" ref="S282:S293" si="149">Q282+R282</f>
        <v>0</v>
      </c>
      <c r="T282">
        <f t="shared" ref="T282:T293" si="150">B282+F282+J282</f>
        <v>0</v>
      </c>
      <c r="U282">
        <f t="shared" ref="U282:U293" si="151">C282+G282+K282</f>
        <v>0</v>
      </c>
      <c r="V282">
        <f t="shared" ref="V282:V293" si="152">T282+U282</f>
        <v>0</v>
      </c>
    </row>
    <row r="283" spans="1:22" x14ac:dyDescent="0.25">
      <c r="A283" t="s">
        <v>275</v>
      </c>
      <c r="B283">
        <v>0</v>
      </c>
      <c r="C283">
        <v>0</v>
      </c>
      <c r="D283">
        <f t="shared" si="142"/>
        <v>0</v>
      </c>
      <c r="E283" t="str">
        <f t="shared" si="143"/>
        <v/>
      </c>
      <c r="F283">
        <v>0</v>
      </c>
      <c r="G283">
        <v>0</v>
      </c>
      <c r="H283">
        <f t="shared" si="144"/>
        <v>0</v>
      </c>
      <c r="I283" t="str">
        <f t="shared" si="145"/>
        <v/>
      </c>
      <c r="J283">
        <v>0</v>
      </c>
      <c r="K283">
        <v>0</v>
      </c>
      <c r="L283">
        <f t="shared" si="146"/>
        <v>0</v>
      </c>
      <c r="M283" t="str">
        <f t="shared" si="147"/>
        <v/>
      </c>
      <c r="N283">
        <v>0</v>
      </c>
      <c r="O283">
        <v>0</v>
      </c>
      <c r="P283">
        <f t="shared" si="148"/>
        <v>0</v>
      </c>
      <c r="Q283">
        <v>0</v>
      </c>
      <c r="R283">
        <v>0</v>
      </c>
      <c r="S283">
        <f t="shared" si="149"/>
        <v>0</v>
      </c>
      <c r="T283">
        <f t="shared" si="150"/>
        <v>0</v>
      </c>
      <c r="U283">
        <f t="shared" si="151"/>
        <v>0</v>
      </c>
      <c r="V283">
        <f t="shared" si="152"/>
        <v>0</v>
      </c>
    </row>
    <row r="284" spans="1:22" x14ac:dyDescent="0.25">
      <c r="A284" t="s">
        <v>276</v>
      </c>
      <c r="B284">
        <v>0</v>
      </c>
      <c r="C284">
        <v>2</v>
      </c>
      <c r="D284">
        <f t="shared" si="142"/>
        <v>2</v>
      </c>
      <c r="E284">
        <f t="shared" si="143"/>
        <v>100</v>
      </c>
      <c r="F284">
        <v>0</v>
      </c>
      <c r="G284">
        <v>0</v>
      </c>
      <c r="H284">
        <f t="shared" si="144"/>
        <v>0</v>
      </c>
      <c r="I284">
        <f t="shared" si="145"/>
        <v>0</v>
      </c>
      <c r="J284">
        <v>0</v>
      </c>
      <c r="K284">
        <v>0</v>
      </c>
      <c r="L284">
        <f t="shared" si="146"/>
        <v>0</v>
      </c>
      <c r="M284">
        <f t="shared" si="147"/>
        <v>0</v>
      </c>
      <c r="N284">
        <v>0</v>
      </c>
      <c r="O284">
        <v>0</v>
      </c>
      <c r="P284">
        <f t="shared" si="148"/>
        <v>0</v>
      </c>
      <c r="Q284">
        <v>0</v>
      </c>
      <c r="R284">
        <v>1</v>
      </c>
      <c r="S284">
        <f t="shared" si="149"/>
        <v>1</v>
      </c>
      <c r="T284">
        <f t="shared" si="150"/>
        <v>0</v>
      </c>
      <c r="U284">
        <f t="shared" si="151"/>
        <v>2</v>
      </c>
      <c r="V284">
        <f t="shared" si="152"/>
        <v>2</v>
      </c>
    </row>
    <row r="285" spans="1:22" x14ac:dyDescent="0.25">
      <c r="A285" t="s">
        <v>277</v>
      </c>
      <c r="B285">
        <v>6</v>
      </c>
      <c r="C285">
        <v>10</v>
      </c>
      <c r="D285">
        <f t="shared" si="142"/>
        <v>16</v>
      </c>
      <c r="E285">
        <f t="shared" si="143"/>
        <v>14.545500000000001</v>
      </c>
      <c r="F285">
        <v>23</v>
      </c>
      <c r="G285">
        <v>34</v>
      </c>
      <c r="H285">
        <f t="shared" si="144"/>
        <v>57</v>
      </c>
      <c r="I285">
        <f t="shared" si="145"/>
        <v>51.818199999999997</v>
      </c>
      <c r="J285">
        <v>24</v>
      </c>
      <c r="K285">
        <v>13</v>
      </c>
      <c r="L285">
        <f t="shared" si="146"/>
        <v>37</v>
      </c>
      <c r="M285">
        <f t="shared" si="147"/>
        <v>33.636400000000002</v>
      </c>
      <c r="N285">
        <v>11</v>
      </c>
      <c r="O285">
        <v>19</v>
      </c>
      <c r="P285">
        <f t="shared" si="148"/>
        <v>30</v>
      </c>
      <c r="Q285">
        <v>28</v>
      </c>
      <c r="R285">
        <v>17</v>
      </c>
      <c r="S285">
        <f t="shared" si="149"/>
        <v>45</v>
      </c>
      <c r="T285">
        <f t="shared" si="150"/>
        <v>53</v>
      </c>
      <c r="U285">
        <f t="shared" si="151"/>
        <v>57</v>
      </c>
      <c r="V285">
        <f t="shared" si="152"/>
        <v>110</v>
      </c>
    </row>
    <row r="286" spans="1:22" x14ac:dyDescent="0.25">
      <c r="A286" t="s">
        <v>278</v>
      </c>
      <c r="B286">
        <v>0</v>
      </c>
      <c r="C286">
        <v>0</v>
      </c>
      <c r="D286">
        <f t="shared" si="142"/>
        <v>0</v>
      </c>
      <c r="E286" t="str">
        <f t="shared" si="143"/>
        <v/>
      </c>
      <c r="F286">
        <v>0</v>
      </c>
      <c r="G286">
        <v>0</v>
      </c>
      <c r="H286">
        <f t="shared" si="144"/>
        <v>0</v>
      </c>
      <c r="I286" t="str">
        <f t="shared" si="145"/>
        <v/>
      </c>
      <c r="J286">
        <v>0</v>
      </c>
      <c r="K286">
        <v>0</v>
      </c>
      <c r="L286">
        <f t="shared" si="146"/>
        <v>0</v>
      </c>
      <c r="M286" t="str">
        <f t="shared" si="147"/>
        <v/>
      </c>
      <c r="N286">
        <v>0</v>
      </c>
      <c r="O286">
        <v>0</v>
      </c>
      <c r="P286">
        <f t="shared" si="148"/>
        <v>0</v>
      </c>
      <c r="Q286">
        <v>0</v>
      </c>
      <c r="R286">
        <v>0</v>
      </c>
      <c r="S286">
        <f t="shared" si="149"/>
        <v>0</v>
      </c>
      <c r="T286">
        <f t="shared" si="150"/>
        <v>0</v>
      </c>
      <c r="U286">
        <f t="shared" si="151"/>
        <v>0</v>
      </c>
      <c r="V286">
        <f t="shared" si="152"/>
        <v>0</v>
      </c>
    </row>
    <row r="287" spans="1:22" x14ac:dyDescent="0.25">
      <c r="A287" t="s">
        <v>279</v>
      </c>
      <c r="B287">
        <v>0</v>
      </c>
      <c r="C287">
        <v>0</v>
      </c>
      <c r="D287">
        <f t="shared" si="142"/>
        <v>0</v>
      </c>
      <c r="E287" t="str">
        <f t="shared" si="143"/>
        <v/>
      </c>
      <c r="F287">
        <v>0</v>
      </c>
      <c r="G287">
        <v>0</v>
      </c>
      <c r="H287">
        <f t="shared" si="144"/>
        <v>0</v>
      </c>
      <c r="I287" t="str">
        <f t="shared" si="145"/>
        <v/>
      </c>
      <c r="J287">
        <v>0</v>
      </c>
      <c r="K287">
        <v>0</v>
      </c>
      <c r="L287">
        <f t="shared" si="146"/>
        <v>0</v>
      </c>
      <c r="M287" t="str">
        <f t="shared" si="147"/>
        <v/>
      </c>
      <c r="N287">
        <v>0</v>
      </c>
      <c r="O287">
        <v>0</v>
      </c>
      <c r="P287">
        <f t="shared" si="148"/>
        <v>0</v>
      </c>
      <c r="Q287">
        <v>0</v>
      </c>
      <c r="R287">
        <v>0</v>
      </c>
      <c r="S287">
        <f t="shared" si="149"/>
        <v>0</v>
      </c>
      <c r="T287">
        <f t="shared" si="150"/>
        <v>0</v>
      </c>
      <c r="U287">
        <f t="shared" si="151"/>
        <v>0</v>
      </c>
      <c r="V287">
        <f t="shared" si="152"/>
        <v>0</v>
      </c>
    </row>
    <row r="288" spans="1:22" x14ac:dyDescent="0.25">
      <c r="A288" t="s">
        <v>280</v>
      </c>
      <c r="B288">
        <v>0</v>
      </c>
      <c r="C288">
        <v>0</v>
      </c>
      <c r="D288">
        <f t="shared" si="142"/>
        <v>0</v>
      </c>
      <c r="E288" t="str">
        <f t="shared" si="143"/>
        <v/>
      </c>
      <c r="F288">
        <v>0</v>
      </c>
      <c r="G288">
        <v>0</v>
      </c>
      <c r="H288">
        <f t="shared" si="144"/>
        <v>0</v>
      </c>
      <c r="I288" t="str">
        <f t="shared" si="145"/>
        <v/>
      </c>
      <c r="J288">
        <v>0</v>
      </c>
      <c r="K288">
        <v>0</v>
      </c>
      <c r="L288">
        <f t="shared" si="146"/>
        <v>0</v>
      </c>
      <c r="M288" t="str">
        <f t="shared" si="147"/>
        <v/>
      </c>
      <c r="N288">
        <v>0</v>
      </c>
      <c r="O288">
        <v>0</v>
      </c>
      <c r="P288">
        <f t="shared" si="148"/>
        <v>0</v>
      </c>
      <c r="Q288">
        <v>0</v>
      </c>
      <c r="R288">
        <v>0</v>
      </c>
      <c r="S288">
        <f t="shared" si="149"/>
        <v>0</v>
      </c>
      <c r="T288">
        <f t="shared" si="150"/>
        <v>0</v>
      </c>
      <c r="U288">
        <f t="shared" si="151"/>
        <v>0</v>
      </c>
      <c r="V288">
        <f t="shared" si="152"/>
        <v>0</v>
      </c>
    </row>
    <row r="289" spans="1:22" x14ac:dyDescent="0.25">
      <c r="A289" t="s">
        <v>281</v>
      </c>
      <c r="B289">
        <v>0</v>
      </c>
      <c r="C289">
        <v>0</v>
      </c>
      <c r="D289">
        <f t="shared" si="142"/>
        <v>0</v>
      </c>
      <c r="E289">
        <f t="shared" si="143"/>
        <v>0</v>
      </c>
      <c r="F289">
        <v>2</v>
      </c>
      <c r="G289">
        <v>0</v>
      </c>
      <c r="H289">
        <f t="shared" si="144"/>
        <v>2</v>
      </c>
      <c r="I289">
        <f t="shared" si="145"/>
        <v>100</v>
      </c>
      <c r="J289">
        <v>0</v>
      </c>
      <c r="K289">
        <v>0</v>
      </c>
      <c r="L289">
        <f t="shared" si="146"/>
        <v>0</v>
      </c>
      <c r="M289">
        <f t="shared" si="147"/>
        <v>0</v>
      </c>
      <c r="N289">
        <v>1</v>
      </c>
      <c r="O289">
        <v>1</v>
      </c>
      <c r="P289">
        <f t="shared" si="148"/>
        <v>2</v>
      </c>
      <c r="Q289">
        <v>0</v>
      </c>
      <c r="R289">
        <v>0</v>
      </c>
      <c r="S289">
        <f t="shared" si="149"/>
        <v>0</v>
      </c>
      <c r="T289">
        <f t="shared" si="150"/>
        <v>2</v>
      </c>
      <c r="U289">
        <f t="shared" si="151"/>
        <v>0</v>
      </c>
      <c r="V289">
        <f t="shared" si="152"/>
        <v>2</v>
      </c>
    </row>
    <row r="290" spans="1:22" x14ac:dyDescent="0.25">
      <c r="A290" t="s">
        <v>282</v>
      </c>
      <c r="B290">
        <v>0</v>
      </c>
      <c r="C290">
        <v>0</v>
      </c>
      <c r="D290">
        <f t="shared" si="142"/>
        <v>0</v>
      </c>
      <c r="E290" t="str">
        <f t="shared" si="143"/>
        <v/>
      </c>
      <c r="F290">
        <v>0</v>
      </c>
      <c r="G290">
        <v>0</v>
      </c>
      <c r="H290">
        <f t="shared" si="144"/>
        <v>0</v>
      </c>
      <c r="I290" t="str">
        <f t="shared" si="145"/>
        <v/>
      </c>
      <c r="J290">
        <v>0</v>
      </c>
      <c r="K290">
        <v>0</v>
      </c>
      <c r="L290">
        <f t="shared" si="146"/>
        <v>0</v>
      </c>
      <c r="M290" t="str">
        <f t="shared" si="147"/>
        <v/>
      </c>
      <c r="N290">
        <v>0</v>
      </c>
      <c r="O290">
        <v>0</v>
      </c>
      <c r="P290">
        <f t="shared" si="148"/>
        <v>0</v>
      </c>
      <c r="Q290">
        <v>0</v>
      </c>
      <c r="R290">
        <v>0</v>
      </c>
      <c r="S290">
        <f t="shared" si="149"/>
        <v>0</v>
      </c>
      <c r="T290">
        <f t="shared" si="150"/>
        <v>0</v>
      </c>
      <c r="U290">
        <f t="shared" si="151"/>
        <v>0</v>
      </c>
      <c r="V290">
        <f t="shared" si="152"/>
        <v>0</v>
      </c>
    </row>
    <row r="291" spans="1:22" x14ac:dyDescent="0.25">
      <c r="A291" t="s">
        <v>283</v>
      </c>
      <c r="B291">
        <v>797</v>
      </c>
      <c r="C291">
        <v>96</v>
      </c>
      <c r="D291">
        <f t="shared" si="142"/>
        <v>893</v>
      </c>
      <c r="E291">
        <f t="shared" si="143"/>
        <v>35.157499999999999</v>
      </c>
      <c r="F291">
        <v>1069</v>
      </c>
      <c r="G291">
        <v>85</v>
      </c>
      <c r="H291">
        <f t="shared" si="144"/>
        <v>1154</v>
      </c>
      <c r="I291">
        <f t="shared" si="145"/>
        <v>45.433100000000003</v>
      </c>
      <c r="J291">
        <v>362</v>
      </c>
      <c r="K291">
        <v>131</v>
      </c>
      <c r="L291">
        <f t="shared" si="146"/>
        <v>493</v>
      </c>
      <c r="M291">
        <f t="shared" si="147"/>
        <v>19.409400000000002</v>
      </c>
      <c r="N291">
        <v>10</v>
      </c>
      <c r="O291">
        <v>8</v>
      </c>
      <c r="P291">
        <f t="shared" si="148"/>
        <v>18</v>
      </c>
      <c r="Q291">
        <v>121</v>
      </c>
      <c r="R291">
        <v>32</v>
      </c>
      <c r="S291">
        <f t="shared" si="149"/>
        <v>153</v>
      </c>
      <c r="T291">
        <f t="shared" si="150"/>
        <v>2228</v>
      </c>
      <c r="U291">
        <f t="shared" si="151"/>
        <v>312</v>
      </c>
      <c r="V291">
        <f t="shared" si="152"/>
        <v>2540</v>
      </c>
    </row>
    <row r="292" spans="1:22" x14ac:dyDescent="0.25">
      <c r="A292" t="s">
        <v>284</v>
      </c>
      <c r="B292">
        <v>3</v>
      </c>
      <c r="C292">
        <v>6</v>
      </c>
      <c r="D292">
        <f t="shared" si="142"/>
        <v>9</v>
      </c>
      <c r="E292">
        <f t="shared" si="143"/>
        <v>6.4748000000000001</v>
      </c>
      <c r="F292">
        <v>66</v>
      </c>
      <c r="G292">
        <v>15</v>
      </c>
      <c r="H292">
        <f t="shared" si="144"/>
        <v>81</v>
      </c>
      <c r="I292">
        <f t="shared" si="145"/>
        <v>58.273400000000002</v>
      </c>
      <c r="J292">
        <v>32</v>
      </c>
      <c r="K292">
        <v>17</v>
      </c>
      <c r="L292">
        <f t="shared" si="146"/>
        <v>49</v>
      </c>
      <c r="M292">
        <f t="shared" si="147"/>
        <v>35.251800000000003</v>
      </c>
      <c r="N292">
        <v>79</v>
      </c>
      <c r="O292">
        <v>7</v>
      </c>
      <c r="P292">
        <f t="shared" si="148"/>
        <v>86</v>
      </c>
      <c r="Q292">
        <v>27</v>
      </c>
      <c r="R292">
        <v>9</v>
      </c>
      <c r="S292">
        <f t="shared" si="149"/>
        <v>36</v>
      </c>
      <c r="T292">
        <f t="shared" si="150"/>
        <v>101</v>
      </c>
      <c r="U292">
        <f t="shared" si="151"/>
        <v>38</v>
      </c>
      <c r="V292">
        <f t="shared" si="152"/>
        <v>139</v>
      </c>
    </row>
    <row r="293" spans="1:22" x14ac:dyDescent="0.25">
      <c r="A293" t="s">
        <v>285</v>
      </c>
      <c r="B293">
        <v>274</v>
      </c>
      <c r="C293">
        <v>2</v>
      </c>
      <c r="D293">
        <f t="shared" si="142"/>
        <v>276</v>
      </c>
      <c r="E293">
        <f t="shared" si="143"/>
        <v>8.1463999999999999</v>
      </c>
      <c r="F293">
        <v>2470</v>
      </c>
      <c r="G293">
        <v>89</v>
      </c>
      <c r="H293">
        <f t="shared" si="144"/>
        <v>2559</v>
      </c>
      <c r="I293">
        <f t="shared" si="145"/>
        <v>75.531300000000002</v>
      </c>
      <c r="J293">
        <v>521</v>
      </c>
      <c r="K293">
        <v>32</v>
      </c>
      <c r="L293">
        <f t="shared" si="146"/>
        <v>553</v>
      </c>
      <c r="M293">
        <f t="shared" si="147"/>
        <v>16.322299999999998</v>
      </c>
      <c r="N293">
        <v>5</v>
      </c>
      <c r="O293">
        <v>2</v>
      </c>
      <c r="P293">
        <f t="shared" si="148"/>
        <v>7</v>
      </c>
      <c r="Q293">
        <v>1052</v>
      </c>
      <c r="R293">
        <v>49</v>
      </c>
      <c r="S293">
        <f t="shared" si="149"/>
        <v>1101</v>
      </c>
      <c r="T293">
        <f t="shared" si="150"/>
        <v>3265</v>
      </c>
      <c r="U293">
        <f t="shared" si="151"/>
        <v>123</v>
      </c>
      <c r="V293">
        <f t="shared" si="152"/>
        <v>3388</v>
      </c>
    </row>
    <row r="295" spans="1:22" x14ac:dyDescent="0.25">
      <c r="A295" s="8" t="s">
        <v>286</v>
      </c>
      <c r="B295" s="8" t="s">
        <v>286</v>
      </c>
      <c r="C295" s="8" t="s">
        <v>286</v>
      </c>
      <c r="D295" s="8" t="s">
        <v>286</v>
      </c>
      <c r="E295" s="8" t="s">
        <v>286</v>
      </c>
      <c r="F295" s="8" t="s">
        <v>286</v>
      </c>
      <c r="G295" s="8" t="s">
        <v>286</v>
      </c>
      <c r="H295" s="8" t="s">
        <v>286</v>
      </c>
      <c r="I295" s="8" t="s">
        <v>286</v>
      </c>
      <c r="J295" s="8" t="s">
        <v>286</v>
      </c>
      <c r="K295" s="8" t="s">
        <v>286</v>
      </c>
      <c r="L295" s="8" t="s">
        <v>286</v>
      </c>
      <c r="M295" s="8" t="s">
        <v>286</v>
      </c>
      <c r="N295" s="8" t="s">
        <v>286</v>
      </c>
      <c r="O295" s="8" t="s">
        <v>286</v>
      </c>
      <c r="P295" s="8" t="s">
        <v>286</v>
      </c>
      <c r="Q295" s="8" t="s">
        <v>286</v>
      </c>
      <c r="R295" s="8" t="s">
        <v>286</v>
      </c>
      <c r="S295" s="8" t="s">
        <v>286</v>
      </c>
      <c r="T295" s="8" t="s">
        <v>286</v>
      </c>
      <c r="U295" s="8" t="s">
        <v>286</v>
      </c>
      <c r="V295" s="8" t="s">
        <v>286</v>
      </c>
    </row>
    <row r="296" spans="1:22" x14ac:dyDescent="0.25">
      <c r="A296" t="s">
        <v>287</v>
      </c>
      <c r="B296">
        <v>0</v>
      </c>
      <c r="C296">
        <v>0</v>
      </c>
      <c r="D296">
        <f t="shared" ref="D296:D327" si="153">B296+C296</f>
        <v>0</v>
      </c>
      <c r="E296">
        <f t="shared" ref="E296:E327" si="154">IF(V296&gt;0,ROUND((D296/V296) * 100, 4), "")</f>
        <v>0</v>
      </c>
      <c r="F296">
        <v>0</v>
      </c>
      <c r="G296">
        <v>2</v>
      </c>
      <c r="H296">
        <f t="shared" ref="H296:H327" si="155">F296+G296</f>
        <v>2</v>
      </c>
      <c r="I296">
        <f t="shared" ref="I296:I327" si="156">IF(V296&gt;0,ROUND((H296/V296) * 100, 4), "")</f>
        <v>66.666700000000006</v>
      </c>
      <c r="J296">
        <v>0</v>
      </c>
      <c r="K296">
        <v>1</v>
      </c>
      <c r="L296">
        <f t="shared" ref="L296:L327" si="157">J296+K296</f>
        <v>1</v>
      </c>
      <c r="M296">
        <f t="shared" ref="M296:M327" si="158">IF(V296&gt;0,ROUND((L296/V296) * 100, 4), "")</f>
        <v>33.333300000000001</v>
      </c>
      <c r="N296">
        <v>0</v>
      </c>
      <c r="O296">
        <v>0</v>
      </c>
      <c r="P296">
        <f t="shared" ref="P296:P327" si="159">N296+O296</f>
        <v>0</v>
      </c>
      <c r="Q296">
        <v>0</v>
      </c>
      <c r="R296">
        <v>0</v>
      </c>
      <c r="S296">
        <f t="shared" ref="S296:S327" si="160">Q296+R296</f>
        <v>0</v>
      </c>
      <c r="T296">
        <f t="shared" ref="T296:T327" si="161">B296+F296+J296</f>
        <v>0</v>
      </c>
      <c r="U296">
        <f t="shared" ref="U296:U327" si="162">C296+G296+K296</f>
        <v>3</v>
      </c>
      <c r="V296">
        <f t="shared" ref="V296:V327" si="163">T296+U296</f>
        <v>3</v>
      </c>
    </row>
    <row r="297" spans="1:22" x14ac:dyDescent="0.25">
      <c r="A297" t="s">
        <v>288</v>
      </c>
      <c r="B297">
        <v>0</v>
      </c>
      <c r="C297">
        <v>0</v>
      </c>
      <c r="D297">
        <f t="shared" si="153"/>
        <v>0</v>
      </c>
      <c r="E297">
        <f t="shared" si="154"/>
        <v>0</v>
      </c>
      <c r="F297">
        <v>0</v>
      </c>
      <c r="G297">
        <v>4</v>
      </c>
      <c r="H297">
        <f t="shared" si="155"/>
        <v>4</v>
      </c>
      <c r="I297">
        <f t="shared" si="156"/>
        <v>80</v>
      </c>
      <c r="J297">
        <v>0</v>
      </c>
      <c r="K297">
        <v>1</v>
      </c>
      <c r="L297">
        <f t="shared" si="157"/>
        <v>1</v>
      </c>
      <c r="M297">
        <f t="shared" si="158"/>
        <v>20</v>
      </c>
      <c r="N297">
        <v>1</v>
      </c>
      <c r="O297">
        <v>0</v>
      </c>
      <c r="P297">
        <f t="shared" si="159"/>
        <v>1</v>
      </c>
      <c r="Q297">
        <v>0</v>
      </c>
      <c r="R297">
        <v>1</v>
      </c>
      <c r="S297">
        <f t="shared" si="160"/>
        <v>1</v>
      </c>
      <c r="T297">
        <f t="shared" si="161"/>
        <v>0</v>
      </c>
      <c r="U297">
        <f t="shared" si="162"/>
        <v>5</v>
      </c>
      <c r="V297">
        <f t="shared" si="163"/>
        <v>5</v>
      </c>
    </row>
    <row r="298" spans="1:22" x14ac:dyDescent="0.25">
      <c r="A298" t="s">
        <v>289</v>
      </c>
      <c r="B298">
        <v>0</v>
      </c>
      <c r="C298">
        <v>0</v>
      </c>
      <c r="D298">
        <f t="shared" si="153"/>
        <v>0</v>
      </c>
      <c r="E298" t="str">
        <f t="shared" si="154"/>
        <v/>
      </c>
      <c r="F298">
        <v>0</v>
      </c>
      <c r="G298">
        <v>0</v>
      </c>
      <c r="H298">
        <f t="shared" si="155"/>
        <v>0</v>
      </c>
      <c r="I298" t="str">
        <f t="shared" si="156"/>
        <v/>
      </c>
      <c r="J298">
        <v>0</v>
      </c>
      <c r="K298">
        <v>0</v>
      </c>
      <c r="L298">
        <f t="shared" si="157"/>
        <v>0</v>
      </c>
      <c r="M298" t="str">
        <f t="shared" si="158"/>
        <v/>
      </c>
      <c r="N298">
        <v>0</v>
      </c>
      <c r="O298">
        <v>0</v>
      </c>
      <c r="P298">
        <f t="shared" si="159"/>
        <v>0</v>
      </c>
      <c r="Q298">
        <v>0</v>
      </c>
      <c r="R298">
        <v>0</v>
      </c>
      <c r="S298">
        <f t="shared" si="160"/>
        <v>0</v>
      </c>
      <c r="T298">
        <f t="shared" si="161"/>
        <v>0</v>
      </c>
      <c r="U298">
        <f t="shared" si="162"/>
        <v>0</v>
      </c>
      <c r="V298">
        <f t="shared" si="163"/>
        <v>0</v>
      </c>
    </row>
    <row r="299" spans="1:22" x14ac:dyDescent="0.25">
      <c r="A299" t="s">
        <v>290</v>
      </c>
      <c r="B299">
        <v>0</v>
      </c>
      <c r="C299">
        <v>0</v>
      </c>
      <c r="D299">
        <f t="shared" si="153"/>
        <v>0</v>
      </c>
      <c r="E299" t="str">
        <f t="shared" si="154"/>
        <v/>
      </c>
      <c r="F299">
        <v>0</v>
      </c>
      <c r="G299">
        <v>0</v>
      </c>
      <c r="H299">
        <f t="shared" si="155"/>
        <v>0</v>
      </c>
      <c r="I299" t="str">
        <f t="shared" si="156"/>
        <v/>
      </c>
      <c r="J299">
        <v>0</v>
      </c>
      <c r="K299">
        <v>0</v>
      </c>
      <c r="L299">
        <f t="shared" si="157"/>
        <v>0</v>
      </c>
      <c r="M299" t="str">
        <f t="shared" si="158"/>
        <v/>
      </c>
      <c r="N299">
        <v>0</v>
      </c>
      <c r="O299">
        <v>0</v>
      </c>
      <c r="P299">
        <f t="shared" si="159"/>
        <v>0</v>
      </c>
      <c r="Q299">
        <v>0</v>
      </c>
      <c r="R299">
        <v>0</v>
      </c>
      <c r="S299">
        <f t="shared" si="160"/>
        <v>0</v>
      </c>
      <c r="T299">
        <f t="shared" si="161"/>
        <v>0</v>
      </c>
      <c r="U299">
        <f t="shared" si="162"/>
        <v>0</v>
      </c>
      <c r="V299">
        <f t="shared" si="163"/>
        <v>0</v>
      </c>
    </row>
    <row r="300" spans="1:22" x14ac:dyDescent="0.25">
      <c r="A300" t="s">
        <v>291</v>
      </c>
      <c r="B300">
        <v>0</v>
      </c>
      <c r="C300">
        <v>0</v>
      </c>
      <c r="D300">
        <f t="shared" si="153"/>
        <v>0</v>
      </c>
      <c r="E300">
        <f t="shared" si="154"/>
        <v>0</v>
      </c>
      <c r="F300">
        <v>0</v>
      </c>
      <c r="G300">
        <v>7</v>
      </c>
      <c r="H300">
        <f t="shared" si="155"/>
        <v>7</v>
      </c>
      <c r="I300">
        <f t="shared" si="156"/>
        <v>46.666699999999999</v>
      </c>
      <c r="J300">
        <v>2</v>
      </c>
      <c r="K300">
        <v>6</v>
      </c>
      <c r="L300">
        <f t="shared" si="157"/>
        <v>8</v>
      </c>
      <c r="M300">
        <f t="shared" si="158"/>
        <v>53.333300000000001</v>
      </c>
      <c r="N300">
        <v>0</v>
      </c>
      <c r="O300">
        <v>0</v>
      </c>
      <c r="P300">
        <f t="shared" si="159"/>
        <v>0</v>
      </c>
      <c r="Q300">
        <v>1</v>
      </c>
      <c r="R300">
        <v>9</v>
      </c>
      <c r="S300">
        <f t="shared" si="160"/>
        <v>10</v>
      </c>
      <c r="T300">
        <f t="shared" si="161"/>
        <v>2</v>
      </c>
      <c r="U300">
        <f t="shared" si="162"/>
        <v>13</v>
      </c>
      <c r="V300">
        <f t="shared" si="163"/>
        <v>15</v>
      </c>
    </row>
    <row r="301" spans="1:22" x14ac:dyDescent="0.25">
      <c r="A301" t="s">
        <v>292</v>
      </c>
      <c r="B301">
        <v>0</v>
      </c>
      <c r="C301">
        <v>5</v>
      </c>
      <c r="D301">
        <f t="shared" si="153"/>
        <v>5</v>
      </c>
      <c r="E301">
        <f t="shared" si="154"/>
        <v>19.230799999999999</v>
      </c>
      <c r="F301">
        <v>1</v>
      </c>
      <c r="G301">
        <v>9</v>
      </c>
      <c r="H301">
        <f t="shared" si="155"/>
        <v>10</v>
      </c>
      <c r="I301">
        <f t="shared" si="156"/>
        <v>38.461500000000001</v>
      </c>
      <c r="J301">
        <v>0</v>
      </c>
      <c r="K301">
        <v>11</v>
      </c>
      <c r="L301">
        <f t="shared" si="157"/>
        <v>11</v>
      </c>
      <c r="M301">
        <f t="shared" si="158"/>
        <v>42.307699999999997</v>
      </c>
      <c r="N301">
        <v>0</v>
      </c>
      <c r="O301">
        <v>0</v>
      </c>
      <c r="P301">
        <f t="shared" si="159"/>
        <v>0</v>
      </c>
      <c r="Q301">
        <v>0</v>
      </c>
      <c r="R301">
        <v>5</v>
      </c>
      <c r="S301">
        <f t="shared" si="160"/>
        <v>5</v>
      </c>
      <c r="T301">
        <f t="shared" si="161"/>
        <v>1</v>
      </c>
      <c r="U301">
        <f t="shared" si="162"/>
        <v>25</v>
      </c>
      <c r="V301">
        <f t="shared" si="163"/>
        <v>26</v>
      </c>
    </row>
    <row r="302" spans="1:22" x14ac:dyDescent="0.25">
      <c r="A302" t="s">
        <v>293</v>
      </c>
      <c r="B302">
        <v>1</v>
      </c>
      <c r="C302">
        <v>10</v>
      </c>
      <c r="D302">
        <f t="shared" si="153"/>
        <v>11</v>
      </c>
      <c r="E302">
        <f t="shared" si="154"/>
        <v>16.417899999999999</v>
      </c>
      <c r="F302">
        <v>1</v>
      </c>
      <c r="G302">
        <v>25</v>
      </c>
      <c r="H302">
        <f t="shared" si="155"/>
        <v>26</v>
      </c>
      <c r="I302">
        <f t="shared" si="156"/>
        <v>38.805999999999997</v>
      </c>
      <c r="J302">
        <v>1</v>
      </c>
      <c r="K302">
        <v>29</v>
      </c>
      <c r="L302">
        <f t="shared" si="157"/>
        <v>30</v>
      </c>
      <c r="M302">
        <f t="shared" si="158"/>
        <v>44.7761</v>
      </c>
      <c r="N302">
        <v>0</v>
      </c>
      <c r="O302">
        <v>2</v>
      </c>
      <c r="P302">
        <f t="shared" si="159"/>
        <v>2</v>
      </c>
      <c r="Q302">
        <v>0</v>
      </c>
      <c r="R302">
        <v>31</v>
      </c>
      <c r="S302">
        <f t="shared" si="160"/>
        <v>31</v>
      </c>
      <c r="T302">
        <f t="shared" si="161"/>
        <v>3</v>
      </c>
      <c r="U302">
        <f t="shared" si="162"/>
        <v>64</v>
      </c>
      <c r="V302">
        <f t="shared" si="163"/>
        <v>67</v>
      </c>
    </row>
    <row r="303" spans="1:22" x14ac:dyDescent="0.25">
      <c r="A303" t="s">
        <v>294</v>
      </c>
      <c r="B303">
        <v>0</v>
      </c>
      <c r="C303">
        <v>0</v>
      </c>
      <c r="D303">
        <f t="shared" si="153"/>
        <v>0</v>
      </c>
      <c r="E303" t="str">
        <f t="shared" si="154"/>
        <v/>
      </c>
      <c r="F303">
        <v>0</v>
      </c>
      <c r="G303">
        <v>0</v>
      </c>
      <c r="H303">
        <f t="shared" si="155"/>
        <v>0</v>
      </c>
      <c r="I303" t="str">
        <f t="shared" si="156"/>
        <v/>
      </c>
      <c r="J303">
        <v>0</v>
      </c>
      <c r="K303">
        <v>0</v>
      </c>
      <c r="L303">
        <f t="shared" si="157"/>
        <v>0</v>
      </c>
      <c r="M303" t="str">
        <f t="shared" si="158"/>
        <v/>
      </c>
      <c r="N303">
        <v>0</v>
      </c>
      <c r="O303">
        <v>0</v>
      </c>
      <c r="P303">
        <f t="shared" si="159"/>
        <v>0</v>
      </c>
      <c r="Q303">
        <v>0</v>
      </c>
      <c r="R303">
        <v>0</v>
      </c>
      <c r="S303">
        <f t="shared" si="160"/>
        <v>0</v>
      </c>
      <c r="T303">
        <f t="shared" si="161"/>
        <v>0</v>
      </c>
      <c r="U303">
        <f t="shared" si="162"/>
        <v>0</v>
      </c>
      <c r="V303">
        <f t="shared" si="163"/>
        <v>0</v>
      </c>
    </row>
    <row r="304" spans="1:22" x14ac:dyDescent="0.25">
      <c r="A304" t="s">
        <v>295</v>
      </c>
      <c r="B304">
        <v>0</v>
      </c>
      <c r="C304">
        <v>0</v>
      </c>
      <c r="D304">
        <f t="shared" si="153"/>
        <v>0</v>
      </c>
      <c r="E304" t="str">
        <f t="shared" si="154"/>
        <v/>
      </c>
      <c r="F304">
        <v>0</v>
      </c>
      <c r="G304">
        <v>0</v>
      </c>
      <c r="H304">
        <f t="shared" si="155"/>
        <v>0</v>
      </c>
      <c r="I304" t="str">
        <f t="shared" si="156"/>
        <v/>
      </c>
      <c r="J304">
        <v>0</v>
      </c>
      <c r="K304">
        <v>0</v>
      </c>
      <c r="L304">
        <f t="shared" si="157"/>
        <v>0</v>
      </c>
      <c r="M304" t="str">
        <f t="shared" si="158"/>
        <v/>
      </c>
      <c r="N304">
        <v>0</v>
      </c>
      <c r="O304">
        <v>0</v>
      </c>
      <c r="P304">
        <f t="shared" si="159"/>
        <v>0</v>
      </c>
      <c r="Q304">
        <v>0</v>
      </c>
      <c r="R304">
        <v>0</v>
      </c>
      <c r="S304">
        <f t="shared" si="160"/>
        <v>0</v>
      </c>
      <c r="T304">
        <f t="shared" si="161"/>
        <v>0</v>
      </c>
      <c r="U304">
        <f t="shared" si="162"/>
        <v>0</v>
      </c>
      <c r="V304">
        <f t="shared" si="163"/>
        <v>0</v>
      </c>
    </row>
    <row r="305" spans="1:22" x14ac:dyDescent="0.25">
      <c r="A305" t="s">
        <v>296</v>
      </c>
      <c r="B305">
        <v>9</v>
      </c>
      <c r="C305">
        <v>3</v>
      </c>
      <c r="D305">
        <f t="shared" si="153"/>
        <v>12</v>
      </c>
      <c r="E305">
        <f t="shared" si="154"/>
        <v>22.641500000000001</v>
      </c>
      <c r="F305">
        <v>15</v>
      </c>
      <c r="G305">
        <v>6</v>
      </c>
      <c r="H305">
        <f t="shared" si="155"/>
        <v>21</v>
      </c>
      <c r="I305">
        <f t="shared" si="156"/>
        <v>39.622599999999998</v>
      </c>
      <c r="J305">
        <v>19</v>
      </c>
      <c r="K305">
        <v>1</v>
      </c>
      <c r="L305">
        <f t="shared" si="157"/>
        <v>20</v>
      </c>
      <c r="M305">
        <f t="shared" si="158"/>
        <v>37.735799999999998</v>
      </c>
      <c r="N305">
        <v>0</v>
      </c>
      <c r="O305">
        <v>0</v>
      </c>
      <c r="P305">
        <f t="shared" si="159"/>
        <v>0</v>
      </c>
      <c r="Q305">
        <v>7</v>
      </c>
      <c r="R305">
        <v>0</v>
      </c>
      <c r="S305">
        <f t="shared" si="160"/>
        <v>7</v>
      </c>
      <c r="T305">
        <f t="shared" si="161"/>
        <v>43</v>
      </c>
      <c r="U305">
        <f t="shared" si="162"/>
        <v>10</v>
      </c>
      <c r="V305">
        <f t="shared" si="163"/>
        <v>53</v>
      </c>
    </row>
    <row r="306" spans="1:22" x14ac:dyDescent="0.25">
      <c r="A306" t="s">
        <v>297</v>
      </c>
      <c r="B306">
        <v>0</v>
      </c>
      <c r="C306">
        <v>0</v>
      </c>
      <c r="D306">
        <f t="shared" si="153"/>
        <v>0</v>
      </c>
      <c r="E306">
        <f t="shared" si="154"/>
        <v>0</v>
      </c>
      <c r="F306">
        <v>0</v>
      </c>
      <c r="G306">
        <v>2</v>
      </c>
      <c r="H306">
        <f t="shared" si="155"/>
        <v>2</v>
      </c>
      <c r="I306">
        <f t="shared" si="156"/>
        <v>66.666700000000006</v>
      </c>
      <c r="J306">
        <v>0</v>
      </c>
      <c r="K306">
        <v>1</v>
      </c>
      <c r="L306">
        <f t="shared" si="157"/>
        <v>1</v>
      </c>
      <c r="M306">
        <f t="shared" si="158"/>
        <v>33.333300000000001</v>
      </c>
      <c r="N306">
        <v>0</v>
      </c>
      <c r="O306">
        <v>0</v>
      </c>
      <c r="P306">
        <f t="shared" si="159"/>
        <v>0</v>
      </c>
      <c r="Q306">
        <v>0</v>
      </c>
      <c r="R306">
        <v>2</v>
      </c>
      <c r="S306">
        <f t="shared" si="160"/>
        <v>2</v>
      </c>
      <c r="T306">
        <f t="shared" si="161"/>
        <v>0</v>
      </c>
      <c r="U306">
        <f t="shared" si="162"/>
        <v>3</v>
      </c>
      <c r="V306">
        <f t="shared" si="163"/>
        <v>3</v>
      </c>
    </row>
    <row r="307" spans="1:22" x14ac:dyDescent="0.25">
      <c r="A307" t="s">
        <v>298</v>
      </c>
      <c r="B307">
        <v>0</v>
      </c>
      <c r="C307">
        <v>5</v>
      </c>
      <c r="D307">
        <f t="shared" si="153"/>
        <v>5</v>
      </c>
      <c r="E307">
        <f t="shared" si="154"/>
        <v>14.7059</v>
      </c>
      <c r="F307">
        <v>0</v>
      </c>
      <c r="G307">
        <v>2</v>
      </c>
      <c r="H307">
        <f t="shared" si="155"/>
        <v>2</v>
      </c>
      <c r="I307">
        <f t="shared" si="156"/>
        <v>5.8823999999999996</v>
      </c>
      <c r="J307">
        <v>0</v>
      </c>
      <c r="K307">
        <v>27</v>
      </c>
      <c r="L307">
        <f t="shared" si="157"/>
        <v>27</v>
      </c>
      <c r="M307">
        <f t="shared" si="158"/>
        <v>79.411799999999999</v>
      </c>
      <c r="N307">
        <v>0</v>
      </c>
      <c r="O307">
        <v>0</v>
      </c>
      <c r="P307">
        <f t="shared" si="159"/>
        <v>0</v>
      </c>
      <c r="Q307">
        <v>0</v>
      </c>
      <c r="R307">
        <v>5</v>
      </c>
      <c r="S307">
        <f t="shared" si="160"/>
        <v>5</v>
      </c>
      <c r="T307">
        <f t="shared" si="161"/>
        <v>0</v>
      </c>
      <c r="U307">
        <f t="shared" si="162"/>
        <v>34</v>
      </c>
      <c r="V307">
        <f t="shared" si="163"/>
        <v>34</v>
      </c>
    </row>
    <row r="308" spans="1:22" x14ac:dyDescent="0.25">
      <c r="A308" t="s">
        <v>299</v>
      </c>
      <c r="B308">
        <v>0</v>
      </c>
      <c r="C308">
        <v>0</v>
      </c>
      <c r="D308">
        <f t="shared" si="153"/>
        <v>0</v>
      </c>
      <c r="E308" t="str">
        <f t="shared" si="154"/>
        <v/>
      </c>
      <c r="F308">
        <v>0</v>
      </c>
      <c r="G308">
        <v>0</v>
      </c>
      <c r="H308">
        <f t="shared" si="155"/>
        <v>0</v>
      </c>
      <c r="I308" t="str">
        <f t="shared" si="156"/>
        <v/>
      </c>
      <c r="J308">
        <v>0</v>
      </c>
      <c r="K308">
        <v>0</v>
      </c>
      <c r="L308">
        <f t="shared" si="157"/>
        <v>0</v>
      </c>
      <c r="M308" t="str">
        <f t="shared" si="158"/>
        <v/>
      </c>
      <c r="N308">
        <v>0</v>
      </c>
      <c r="O308">
        <v>0</v>
      </c>
      <c r="P308">
        <f t="shared" si="159"/>
        <v>0</v>
      </c>
      <c r="Q308">
        <v>0</v>
      </c>
      <c r="R308">
        <v>0</v>
      </c>
      <c r="S308">
        <f t="shared" si="160"/>
        <v>0</v>
      </c>
      <c r="T308">
        <f t="shared" si="161"/>
        <v>0</v>
      </c>
      <c r="U308">
        <f t="shared" si="162"/>
        <v>0</v>
      </c>
      <c r="V308">
        <f t="shared" si="163"/>
        <v>0</v>
      </c>
    </row>
    <row r="309" spans="1:22" x14ac:dyDescent="0.25">
      <c r="A309" t="s">
        <v>300</v>
      </c>
      <c r="B309">
        <v>16</v>
      </c>
      <c r="C309">
        <v>22</v>
      </c>
      <c r="D309">
        <f t="shared" si="153"/>
        <v>38</v>
      </c>
      <c r="E309">
        <f t="shared" si="154"/>
        <v>16.593900000000001</v>
      </c>
      <c r="F309">
        <v>24</v>
      </c>
      <c r="G309">
        <v>50</v>
      </c>
      <c r="H309">
        <f t="shared" si="155"/>
        <v>74</v>
      </c>
      <c r="I309">
        <f t="shared" si="156"/>
        <v>32.314399999999999</v>
      </c>
      <c r="J309">
        <v>33</v>
      </c>
      <c r="K309">
        <v>84</v>
      </c>
      <c r="L309">
        <f t="shared" si="157"/>
        <v>117</v>
      </c>
      <c r="M309">
        <f t="shared" si="158"/>
        <v>51.091700000000003</v>
      </c>
      <c r="N309">
        <v>1</v>
      </c>
      <c r="O309">
        <v>0</v>
      </c>
      <c r="P309">
        <f t="shared" si="159"/>
        <v>1</v>
      </c>
      <c r="Q309">
        <v>10</v>
      </c>
      <c r="R309">
        <v>26</v>
      </c>
      <c r="S309">
        <f t="shared" si="160"/>
        <v>36</v>
      </c>
      <c r="T309">
        <f t="shared" si="161"/>
        <v>73</v>
      </c>
      <c r="U309">
        <f t="shared" si="162"/>
        <v>156</v>
      </c>
      <c r="V309">
        <f t="shared" si="163"/>
        <v>229</v>
      </c>
    </row>
    <row r="310" spans="1:22" x14ac:dyDescent="0.25">
      <c r="A310" t="s">
        <v>301</v>
      </c>
      <c r="B310">
        <v>185</v>
      </c>
      <c r="C310">
        <v>29</v>
      </c>
      <c r="D310">
        <f t="shared" si="153"/>
        <v>214</v>
      </c>
      <c r="E310">
        <f t="shared" si="154"/>
        <v>25.1174</v>
      </c>
      <c r="F310">
        <v>393</v>
      </c>
      <c r="G310">
        <v>50</v>
      </c>
      <c r="H310">
        <f t="shared" si="155"/>
        <v>443</v>
      </c>
      <c r="I310">
        <f t="shared" si="156"/>
        <v>51.9953</v>
      </c>
      <c r="J310">
        <v>108</v>
      </c>
      <c r="K310">
        <v>87</v>
      </c>
      <c r="L310">
        <f t="shared" si="157"/>
        <v>195</v>
      </c>
      <c r="M310">
        <f t="shared" si="158"/>
        <v>22.8873</v>
      </c>
      <c r="N310">
        <v>1</v>
      </c>
      <c r="O310">
        <v>0</v>
      </c>
      <c r="P310">
        <f t="shared" si="159"/>
        <v>1</v>
      </c>
      <c r="Q310">
        <v>141</v>
      </c>
      <c r="R310">
        <v>72</v>
      </c>
      <c r="S310">
        <f t="shared" si="160"/>
        <v>213</v>
      </c>
      <c r="T310">
        <f t="shared" si="161"/>
        <v>686</v>
      </c>
      <c r="U310">
        <f t="shared" si="162"/>
        <v>166</v>
      </c>
      <c r="V310">
        <f t="shared" si="163"/>
        <v>852</v>
      </c>
    </row>
    <row r="311" spans="1:22" x14ac:dyDescent="0.25">
      <c r="A311" t="s">
        <v>302</v>
      </c>
      <c r="B311">
        <v>0</v>
      </c>
      <c r="C311">
        <v>1</v>
      </c>
      <c r="D311">
        <f t="shared" si="153"/>
        <v>1</v>
      </c>
      <c r="E311">
        <f t="shared" si="154"/>
        <v>50</v>
      </c>
      <c r="F311">
        <v>0</v>
      </c>
      <c r="G311">
        <v>0</v>
      </c>
      <c r="H311">
        <f t="shared" si="155"/>
        <v>0</v>
      </c>
      <c r="I311">
        <f t="shared" si="156"/>
        <v>0</v>
      </c>
      <c r="J311">
        <v>0</v>
      </c>
      <c r="K311">
        <v>1</v>
      </c>
      <c r="L311">
        <f t="shared" si="157"/>
        <v>1</v>
      </c>
      <c r="M311">
        <f t="shared" si="158"/>
        <v>50</v>
      </c>
      <c r="N311">
        <v>0</v>
      </c>
      <c r="O311">
        <v>0</v>
      </c>
      <c r="P311">
        <f t="shared" si="159"/>
        <v>0</v>
      </c>
      <c r="Q311">
        <v>0</v>
      </c>
      <c r="R311">
        <v>0</v>
      </c>
      <c r="S311">
        <f t="shared" si="160"/>
        <v>0</v>
      </c>
      <c r="T311">
        <f t="shared" si="161"/>
        <v>0</v>
      </c>
      <c r="U311">
        <f t="shared" si="162"/>
        <v>2</v>
      </c>
      <c r="V311">
        <f t="shared" si="163"/>
        <v>2</v>
      </c>
    </row>
    <row r="312" spans="1:22" x14ac:dyDescent="0.25">
      <c r="A312" t="s">
        <v>303</v>
      </c>
      <c r="B312">
        <v>0</v>
      </c>
      <c r="C312">
        <v>0</v>
      </c>
      <c r="D312">
        <f t="shared" si="153"/>
        <v>0</v>
      </c>
      <c r="E312" t="str">
        <f t="shared" si="154"/>
        <v/>
      </c>
      <c r="F312">
        <v>0</v>
      </c>
      <c r="G312">
        <v>0</v>
      </c>
      <c r="H312">
        <f t="shared" si="155"/>
        <v>0</v>
      </c>
      <c r="I312" t="str">
        <f t="shared" si="156"/>
        <v/>
      </c>
      <c r="J312">
        <v>0</v>
      </c>
      <c r="K312">
        <v>0</v>
      </c>
      <c r="L312">
        <f t="shared" si="157"/>
        <v>0</v>
      </c>
      <c r="M312" t="str">
        <f t="shared" si="158"/>
        <v/>
      </c>
      <c r="N312">
        <v>0</v>
      </c>
      <c r="O312">
        <v>0</v>
      </c>
      <c r="P312">
        <f t="shared" si="159"/>
        <v>0</v>
      </c>
      <c r="Q312">
        <v>0</v>
      </c>
      <c r="R312">
        <v>0</v>
      </c>
      <c r="S312">
        <f t="shared" si="160"/>
        <v>0</v>
      </c>
      <c r="T312">
        <f t="shared" si="161"/>
        <v>0</v>
      </c>
      <c r="U312">
        <f t="shared" si="162"/>
        <v>0</v>
      </c>
      <c r="V312">
        <f t="shared" si="163"/>
        <v>0</v>
      </c>
    </row>
    <row r="313" spans="1:22" x14ac:dyDescent="0.25">
      <c r="A313" t="s">
        <v>304</v>
      </c>
      <c r="B313">
        <v>1</v>
      </c>
      <c r="C313">
        <v>26</v>
      </c>
      <c r="D313">
        <f t="shared" si="153"/>
        <v>27</v>
      </c>
      <c r="E313">
        <f t="shared" si="154"/>
        <v>16.564399999999999</v>
      </c>
      <c r="F313">
        <v>3</v>
      </c>
      <c r="G313">
        <v>50</v>
      </c>
      <c r="H313">
        <f t="shared" si="155"/>
        <v>53</v>
      </c>
      <c r="I313">
        <f t="shared" si="156"/>
        <v>32.515300000000003</v>
      </c>
      <c r="J313">
        <v>5</v>
      </c>
      <c r="K313">
        <v>78</v>
      </c>
      <c r="L313">
        <f t="shared" si="157"/>
        <v>83</v>
      </c>
      <c r="M313">
        <f t="shared" si="158"/>
        <v>50.920200000000001</v>
      </c>
      <c r="N313">
        <v>0</v>
      </c>
      <c r="O313">
        <v>5</v>
      </c>
      <c r="P313">
        <f t="shared" si="159"/>
        <v>5</v>
      </c>
      <c r="Q313">
        <v>8</v>
      </c>
      <c r="R313">
        <v>37</v>
      </c>
      <c r="S313">
        <f t="shared" si="160"/>
        <v>45</v>
      </c>
      <c r="T313">
        <f t="shared" si="161"/>
        <v>9</v>
      </c>
      <c r="U313">
        <f t="shared" si="162"/>
        <v>154</v>
      </c>
      <c r="V313">
        <f t="shared" si="163"/>
        <v>163</v>
      </c>
    </row>
    <row r="314" spans="1:22" x14ac:dyDescent="0.25">
      <c r="A314" t="s">
        <v>305</v>
      </c>
      <c r="B314">
        <v>0</v>
      </c>
      <c r="C314">
        <v>0</v>
      </c>
      <c r="D314">
        <f t="shared" si="153"/>
        <v>0</v>
      </c>
      <c r="E314" t="str">
        <f t="shared" si="154"/>
        <v/>
      </c>
      <c r="F314">
        <v>0</v>
      </c>
      <c r="G314">
        <v>0</v>
      </c>
      <c r="H314">
        <f t="shared" si="155"/>
        <v>0</v>
      </c>
      <c r="I314" t="str">
        <f t="shared" si="156"/>
        <v/>
      </c>
      <c r="J314">
        <v>0</v>
      </c>
      <c r="K314">
        <v>0</v>
      </c>
      <c r="L314">
        <f t="shared" si="157"/>
        <v>0</v>
      </c>
      <c r="M314" t="str">
        <f t="shared" si="158"/>
        <v/>
      </c>
      <c r="N314">
        <v>0</v>
      </c>
      <c r="O314">
        <v>0</v>
      </c>
      <c r="P314">
        <f t="shared" si="159"/>
        <v>0</v>
      </c>
      <c r="Q314">
        <v>0</v>
      </c>
      <c r="R314">
        <v>0</v>
      </c>
      <c r="S314">
        <f t="shared" si="160"/>
        <v>0</v>
      </c>
      <c r="T314">
        <f t="shared" si="161"/>
        <v>0</v>
      </c>
      <c r="U314">
        <f t="shared" si="162"/>
        <v>0</v>
      </c>
      <c r="V314">
        <f t="shared" si="163"/>
        <v>0</v>
      </c>
    </row>
    <row r="315" spans="1:22" x14ac:dyDescent="0.25">
      <c r="A315" t="s">
        <v>306</v>
      </c>
      <c r="B315">
        <v>0</v>
      </c>
      <c r="C315">
        <v>0</v>
      </c>
      <c r="D315">
        <f t="shared" si="153"/>
        <v>0</v>
      </c>
      <c r="E315">
        <f t="shared" si="154"/>
        <v>0</v>
      </c>
      <c r="F315">
        <v>0</v>
      </c>
      <c r="G315">
        <v>12</v>
      </c>
      <c r="H315">
        <f t="shared" si="155"/>
        <v>12</v>
      </c>
      <c r="I315">
        <f t="shared" si="156"/>
        <v>57.142899999999997</v>
      </c>
      <c r="J315">
        <v>0</v>
      </c>
      <c r="K315">
        <v>9</v>
      </c>
      <c r="L315">
        <f t="shared" si="157"/>
        <v>9</v>
      </c>
      <c r="M315">
        <f t="shared" si="158"/>
        <v>42.857100000000003</v>
      </c>
      <c r="N315">
        <v>0</v>
      </c>
      <c r="O315">
        <v>0</v>
      </c>
      <c r="P315">
        <f t="shared" si="159"/>
        <v>0</v>
      </c>
      <c r="Q315">
        <v>0</v>
      </c>
      <c r="R315">
        <v>2</v>
      </c>
      <c r="S315">
        <f t="shared" si="160"/>
        <v>2</v>
      </c>
      <c r="T315">
        <f t="shared" si="161"/>
        <v>0</v>
      </c>
      <c r="U315">
        <f t="shared" si="162"/>
        <v>21</v>
      </c>
      <c r="V315">
        <f t="shared" si="163"/>
        <v>21</v>
      </c>
    </row>
    <row r="316" spans="1:22" x14ac:dyDescent="0.25">
      <c r="A316" t="s">
        <v>307</v>
      </c>
      <c r="B316">
        <v>0</v>
      </c>
      <c r="C316">
        <v>0</v>
      </c>
      <c r="D316">
        <f t="shared" si="153"/>
        <v>0</v>
      </c>
      <c r="E316">
        <f t="shared" si="154"/>
        <v>0</v>
      </c>
      <c r="F316">
        <v>8</v>
      </c>
      <c r="G316">
        <v>0</v>
      </c>
      <c r="H316">
        <f t="shared" si="155"/>
        <v>8</v>
      </c>
      <c r="I316">
        <f t="shared" si="156"/>
        <v>88.888900000000007</v>
      </c>
      <c r="J316">
        <v>1</v>
      </c>
      <c r="K316">
        <v>0</v>
      </c>
      <c r="L316">
        <f t="shared" si="157"/>
        <v>1</v>
      </c>
      <c r="M316">
        <f t="shared" si="158"/>
        <v>11.1111</v>
      </c>
      <c r="N316">
        <v>2</v>
      </c>
      <c r="O316">
        <v>0</v>
      </c>
      <c r="P316">
        <f t="shared" si="159"/>
        <v>2</v>
      </c>
      <c r="Q316">
        <v>1</v>
      </c>
      <c r="R316">
        <v>0</v>
      </c>
      <c r="S316">
        <f t="shared" si="160"/>
        <v>1</v>
      </c>
      <c r="T316">
        <f t="shared" si="161"/>
        <v>9</v>
      </c>
      <c r="U316">
        <f t="shared" si="162"/>
        <v>0</v>
      </c>
      <c r="V316">
        <f t="shared" si="163"/>
        <v>9</v>
      </c>
    </row>
    <row r="317" spans="1:22" x14ac:dyDescent="0.25">
      <c r="A317" t="s">
        <v>308</v>
      </c>
      <c r="B317">
        <v>0</v>
      </c>
      <c r="C317">
        <v>0</v>
      </c>
      <c r="D317">
        <f t="shared" si="153"/>
        <v>0</v>
      </c>
      <c r="E317" t="str">
        <f t="shared" si="154"/>
        <v/>
      </c>
      <c r="F317">
        <v>0</v>
      </c>
      <c r="G317">
        <v>0</v>
      </c>
      <c r="H317">
        <f t="shared" si="155"/>
        <v>0</v>
      </c>
      <c r="I317" t="str">
        <f t="shared" si="156"/>
        <v/>
      </c>
      <c r="J317">
        <v>0</v>
      </c>
      <c r="K317">
        <v>0</v>
      </c>
      <c r="L317">
        <f t="shared" si="157"/>
        <v>0</v>
      </c>
      <c r="M317" t="str">
        <f t="shared" si="158"/>
        <v/>
      </c>
      <c r="N317">
        <v>0</v>
      </c>
      <c r="O317">
        <v>0</v>
      </c>
      <c r="P317">
        <f t="shared" si="159"/>
        <v>0</v>
      </c>
      <c r="Q317">
        <v>0</v>
      </c>
      <c r="R317">
        <v>0</v>
      </c>
      <c r="S317">
        <f t="shared" si="160"/>
        <v>0</v>
      </c>
      <c r="T317">
        <f t="shared" si="161"/>
        <v>0</v>
      </c>
      <c r="U317">
        <f t="shared" si="162"/>
        <v>0</v>
      </c>
      <c r="V317">
        <f t="shared" si="163"/>
        <v>0</v>
      </c>
    </row>
    <row r="318" spans="1:22" x14ac:dyDescent="0.25">
      <c r="A318" t="s">
        <v>309</v>
      </c>
      <c r="B318">
        <v>0</v>
      </c>
      <c r="C318">
        <v>0</v>
      </c>
      <c r="D318">
        <f t="shared" si="153"/>
        <v>0</v>
      </c>
      <c r="E318" t="str">
        <f t="shared" si="154"/>
        <v/>
      </c>
      <c r="F318">
        <v>0</v>
      </c>
      <c r="G318">
        <v>0</v>
      </c>
      <c r="H318">
        <f t="shared" si="155"/>
        <v>0</v>
      </c>
      <c r="I318" t="str">
        <f t="shared" si="156"/>
        <v/>
      </c>
      <c r="J318">
        <v>0</v>
      </c>
      <c r="K318">
        <v>0</v>
      </c>
      <c r="L318">
        <f t="shared" si="157"/>
        <v>0</v>
      </c>
      <c r="M318" t="str">
        <f t="shared" si="158"/>
        <v/>
      </c>
      <c r="N318">
        <v>0</v>
      </c>
      <c r="O318">
        <v>0</v>
      </c>
      <c r="P318">
        <f t="shared" si="159"/>
        <v>0</v>
      </c>
      <c r="Q318">
        <v>0</v>
      </c>
      <c r="R318">
        <v>0</v>
      </c>
      <c r="S318">
        <f t="shared" si="160"/>
        <v>0</v>
      </c>
      <c r="T318">
        <f t="shared" si="161"/>
        <v>0</v>
      </c>
      <c r="U318">
        <f t="shared" si="162"/>
        <v>0</v>
      </c>
      <c r="V318">
        <f t="shared" si="163"/>
        <v>0</v>
      </c>
    </row>
    <row r="319" spans="1:22" x14ac:dyDescent="0.25">
      <c r="A319" t="s">
        <v>310</v>
      </c>
      <c r="B319">
        <v>0</v>
      </c>
      <c r="C319">
        <v>0</v>
      </c>
      <c r="D319">
        <f t="shared" si="153"/>
        <v>0</v>
      </c>
      <c r="E319" t="str">
        <f t="shared" si="154"/>
        <v/>
      </c>
      <c r="F319">
        <v>0</v>
      </c>
      <c r="G319">
        <v>0</v>
      </c>
      <c r="H319">
        <f t="shared" si="155"/>
        <v>0</v>
      </c>
      <c r="I319" t="str">
        <f t="shared" si="156"/>
        <v/>
      </c>
      <c r="J319">
        <v>0</v>
      </c>
      <c r="K319">
        <v>0</v>
      </c>
      <c r="L319">
        <f t="shared" si="157"/>
        <v>0</v>
      </c>
      <c r="M319" t="str">
        <f t="shared" si="158"/>
        <v/>
      </c>
      <c r="N319">
        <v>0</v>
      </c>
      <c r="O319">
        <v>0</v>
      </c>
      <c r="P319">
        <f t="shared" si="159"/>
        <v>0</v>
      </c>
      <c r="Q319">
        <v>0</v>
      </c>
      <c r="R319">
        <v>0</v>
      </c>
      <c r="S319">
        <f t="shared" si="160"/>
        <v>0</v>
      </c>
      <c r="T319">
        <f t="shared" si="161"/>
        <v>0</v>
      </c>
      <c r="U319">
        <f t="shared" si="162"/>
        <v>0</v>
      </c>
      <c r="V319">
        <f t="shared" si="163"/>
        <v>0</v>
      </c>
    </row>
    <row r="320" spans="1:22" x14ac:dyDescent="0.25">
      <c r="A320" t="s">
        <v>311</v>
      </c>
      <c r="B320">
        <v>0</v>
      </c>
      <c r="C320">
        <v>0</v>
      </c>
      <c r="D320">
        <f t="shared" si="153"/>
        <v>0</v>
      </c>
      <c r="E320">
        <f t="shared" si="154"/>
        <v>0</v>
      </c>
      <c r="F320">
        <v>0</v>
      </c>
      <c r="G320">
        <v>0</v>
      </c>
      <c r="H320">
        <f t="shared" si="155"/>
        <v>0</v>
      </c>
      <c r="I320">
        <f t="shared" si="156"/>
        <v>0</v>
      </c>
      <c r="J320">
        <v>0</v>
      </c>
      <c r="K320">
        <v>1</v>
      </c>
      <c r="L320">
        <f t="shared" si="157"/>
        <v>1</v>
      </c>
      <c r="M320">
        <f t="shared" si="158"/>
        <v>100</v>
      </c>
      <c r="N320">
        <v>0</v>
      </c>
      <c r="O320">
        <v>0</v>
      </c>
      <c r="P320">
        <f t="shared" si="159"/>
        <v>0</v>
      </c>
      <c r="Q320">
        <v>0</v>
      </c>
      <c r="R320">
        <v>0</v>
      </c>
      <c r="S320">
        <f t="shared" si="160"/>
        <v>0</v>
      </c>
      <c r="T320">
        <f t="shared" si="161"/>
        <v>0</v>
      </c>
      <c r="U320">
        <f t="shared" si="162"/>
        <v>1</v>
      </c>
      <c r="V320">
        <f t="shared" si="163"/>
        <v>1</v>
      </c>
    </row>
    <row r="321" spans="1:22" x14ac:dyDescent="0.25">
      <c r="A321" t="s">
        <v>312</v>
      </c>
      <c r="B321">
        <v>0</v>
      </c>
      <c r="C321">
        <v>0</v>
      </c>
      <c r="D321">
        <f t="shared" si="153"/>
        <v>0</v>
      </c>
      <c r="E321" t="str">
        <f t="shared" si="154"/>
        <v/>
      </c>
      <c r="F321">
        <v>0</v>
      </c>
      <c r="G321">
        <v>0</v>
      </c>
      <c r="H321">
        <f t="shared" si="155"/>
        <v>0</v>
      </c>
      <c r="I321" t="str">
        <f t="shared" si="156"/>
        <v/>
      </c>
      <c r="J321">
        <v>0</v>
      </c>
      <c r="K321">
        <v>0</v>
      </c>
      <c r="L321">
        <f t="shared" si="157"/>
        <v>0</v>
      </c>
      <c r="M321" t="str">
        <f t="shared" si="158"/>
        <v/>
      </c>
      <c r="N321">
        <v>0</v>
      </c>
      <c r="O321">
        <v>0</v>
      </c>
      <c r="P321">
        <f t="shared" si="159"/>
        <v>0</v>
      </c>
      <c r="Q321">
        <v>0</v>
      </c>
      <c r="R321">
        <v>0</v>
      </c>
      <c r="S321">
        <f t="shared" si="160"/>
        <v>0</v>
      </c>
      <c r="T321">
        <f t="shared" si="161"/>
        <v>0</v>
      </c>
      <c r="U321">
        <f t="shared" si="162"/>
        <v>0</v>
      </c>
      <c r="V321">
        <f t="shared" si="163"/>
        <v>0</v>
      </c>
    </row>
    <row r="322" spans="1:22" x14ac:dyDescent="0.25">
      <c r="A322" t="s">
        <v>313</v>
      </c>
      <c r="B322">
        <v>0</v>
      </c>
      <c r="C322">
        <v>0</v>
      </c>
      <c r="D322">
        <f t="shared" si="153"/>
        <v>0</v>
      </c>
      <c r="E322" t="str">
        <f t="shared" si="154"/>
        <v/>
      </c>
      <c r="F322">
        <v>0</v>
      </c>
      <c r="G322">
        <v>0</v>
      </c>
      <c r="H322">
        <f t="shared" si="155"/>
        <v>0</v>
      </c>
      <c r="I322" t="str">
        <f t="shared" si="156"/>
        <v/>
      </c>
      <c r="J322">
        <v>0</v>
      </c>
      <c r="K322">
        <v>0</v>
      </c>
      <c r="L322">
        <f t="shared" si="157"/>
        <v>0</v>
      </c>
      <c r="M322" t="str">
        <f t="shared" si="158"/>
        <v/>
      </c>
      <c r="N322">
        <v>0</v>
      </c>
      <c r="O322">
        <v>0</v>
      </c>
      <c r="P322">
        <f t="shared" si="159"/>
        <v>0</v>
      </c>
      <c r="Q322">
        <v>0</v>
      </c>
      <c r="R322">
        <v>0</v>
      </c>
      <c r="S322">
        <f t="shared" si="160"/>
        <v>0</v>
      </c>
      <c r="T322">
        <f t="shared" si="161"/>
        <v>0</v>
      </c>
      <c r="U322">
        <f t="shared" si="162"/>
        <v>0</v>
      </c>
      <c r="V322">
        <f t="shared" si="163"/>
        <v>0</v>
      </c>
    </row>
    <row r="323" spans="1:22" x14ac:dyDescent="0.25">
      <c r="A323" t="s">
        <v>314</v>
      </c>
      <c r="B323">
        <v>0</v>
      </c>
      <c r="C323">
        <v>0</v>
      </c>
      <c r="D323">
        <f t="shared" si="153"/>
        <v>0</v>
      </c>
      <c r="E323">
        <f t="shared" si="154"/>
        <v>0</v>
      </c>
      <c r="F323">
        <v>0</v>
      </c>
      <c r="G323">
        <v>5</v>
      </c>
      <c r="H323">
        <f t="shared" si="155"/>
        <v>5</v>
      </c>
      <c r="I323">
        <f t="shared" si="156"/>
        <v>71.428600000000003</v>
      </c>
      <c r="J323">
        <v>0</v>
      </c>
      <c r="K323">
        <v>2</v>
      </c>
      <c r="L323">
        <f t="shared" si="157"/>
        <v>2</v>
      </c>
      <c r="M323">
        <f t="shared" si="158"/>
        <v>28.571400000000001</v>
      </c>
      <c r="N323">
        <v>0</v>
      </c>
      <c r="O323">
        <v>0</v>
      </c>
      <c r="P323">
        <f t="shared" si="159"/>
        <v>0</v>
      </c>
      <c r="Q323">
        <v>0</v>
      </c>
      <c r="R323">
        <v>1</v>
      </c>
      <c r="S323">
        <f t="shared" si="160"/>
        <v>1</v>
      </c>
      <c r="T323">
        <f t="shared" si="161"/>
        <v>0</v>
      </c>
      <c r="U323">
        <f t="shared" si="162"/>
        <v>7</v>
      </c>
      <c r="V323">
        <f t="shared" si="163"/>
        <v>7</v>
      </c>
    </row>
    <row r="324" spans="1:22" x14ac:dyDescent="0.25">
      <c r="A324" t="s">
        <v>315</v>
      </c>
      <c r="B324">
        <v>0</v>
      </c>
      <c r="C324">
        <v>4</v>
      </c>
      <c r="D324">
        <f t="shared" si="153"/>
        <v>4</v>
      </c>
      <c r="E324">
        <f t="shared" si="154"/>
        <v>10</v>
      </c>
      <c r="F324">
        <v>3</v>
      </c>
      <c r="G324">
        <v>3</v>
      </c>
      <c r="H324">
        <f t="shared" si="155"/>
        <v>6</v>
      </c>
      <c r="I324">
        <f t="shared" si="156"/>
        <v>15</v>
      </c>
      <c r="J324">
        <v>0</v>
      </c>
      <c r="K324">
        <v>30</v>
      </c>
      <c r="L324">
        <f t="shared" si="157"/>
        <v>30</v>
      </c>
      <c r="M324">
        <f t="shared" si="158"/>
        <v>75</v>
      </c>
      <c r="N324">
        <v>0</v>
      </c>
      <c r="O324">
        <v>0</v>
      </c>
      <c r="P324">
        <f t="shared" si="159"/>
        <v>0</v>
      </c>
      <c r="Q324">
        <v>3</v>
      </c>
      <c r="R324">
        <v>8</v>
      </c>
      <c r="S324">
        <f t="shared" si="160"/>
        <v>11</v>
      </c>
      <c r="T324">
        <f t="shared" si="161"/>
        <v>3</v>
      </c>
      <c r="U324">
        <f t="shared" si="162"/>
        <v>37</v>
      </c>
      <c r="V324">
        <f t="shared" si="163"/>
        <v>40</v>
      </c>
    </row>
    <row r="325" spans="1:22" x14ac:dyDescent="0.25">
      <c r="A325" t="s">
        <v>316</v>
      </c>
      <c r="B325">
        <v>0</v>
      </c>
      <c r="C325">
        <v>0</v>
      </c>
      <c r="D325">
        <f t="shared" si="153"/>
        <v>0</v>
      </c>
      <c r="E325" t="str">
        <f t="shared" si="154"/>
        <v/>
      </c>
      <c r="F325">
        <v>0</v>
      </c>
      <c r="G325">
        <v>0</v>
      </c>
      <c r="H325">
        <f t="shared" si="155"/>
        <v>0</v>
      </c>
      <c r="I325" t="str">
        <f t="shared" si="156"/>
        <v/>
      </c>
      <c r="J325">
        <v>0</v>
      </c>
      <c r="K325">
        <v>0</v>
      </c>
      <c r="L325">
        <f t="shared" si="157"/>
        <v>0</v>
      </c>
      <c r="M325" t="str">
        <f t="shared" si="158"/>
        <v/>
      </c>
      <c r="N325">
        <v>0</v>
      </c>
      <c r="O325">
        <v>0</v>
      </c>
      <c r="P325">
        <f t="shared" si="159"/>
        <v>0</v>
      </c>
      <c r="Q325">
        <v>0</v>
      </c>
      <c r="R325">
        <v>0</v>
      </c>
      <c r="S325">
        <f t="shared" si="160"/>
        <v>0</v>
      </c>
      <c r="T325">
        <f t="shared" si="161"/>
        <v>0</v>
      </c>
      <c r="U325">
        <f t="shared" si="162"/>
        <v>0</v>
      </c>
      <c r="V325">
        <f t="shared" si="163"/>
        <v>0</v>
      </c>
    </row>
    <row r="326" spans="1:22" x14ac:dyDescent="0.25">
      <c r="A326" t="s">
        <v>317</v>
      </c>
      <c r="B326">
        <v>8</v>
      </c>
      <c r="C326">
        <v>9</v>
      </c>
      <c r="D326">
        <f t="shared" si="153"/>
        <v>17</v>
      </c>
      <c r="E326">
        <f t="shared" si="154"/>
        <v>27.4194</v>
      </c>
      <c r="F326">
        <v>22</v>
      </c>
      <c r="G326">
        <v>5</v>
      </c>
      <c r="H326">
        <f t="shared" si="155"/>
        <v>27</v>
      </c>
      <c r="I326">
        <f t="shared" si="156"/>
        <v>43.548400000000001</v>
      </c>
      <c r="J326">
        <v>14</v>
      </c>
      <c r="K326">
        <v>4</v>
      </c>
      <c r="L326">
        <f t="shared" si="157"/>
        <v>18</v>
      </c>
      <c r="M326">
        <f t="shared" si="158"/>
        <v>29.032299999999999</v>
      </c>
      <c r="N326">
        <v>0</v>
      </c>
      <c r="O326">
        <v>0</v>
      </c>
      <c r="P326">
        <f t="shared" si="159"/>
        <v>0</v>
      </c>
      <c r="Q326">
        <v>7</v>
      </c>
      <c r="R326">
        <v>3</v>
      </c>
      <c r="S326">
        <f t="shared" si="160"/>
        <v>10</v>
      </c>
      <c r="T326">
        <f t="shared" si="161"/>
        <v>44</v>
      </c>
      <c r="U326">
        <f t="shared" si="162"/>
        <v>18</v>
      </c>
      <c r="V326">
        <f t="shared" si="163"/>
        <v>62</v>
      </c>
    </row>
    <row r="327" spans="1:22" x14ac:dyDescent="0.25">
      <c r="A327" t="s">
        <v>318</v>
      </c>
      <c r="B327">
        <v>1</v>
      </c>
      <c r="C327">
        <v>3</v>
      </c>
      <c r="D327">
        <f t="shared" si="153"/>
        <v>4</v>
      </c>
      <c r="E327">
        <f t="shared" si="154"/>
        <v>16.666699999999999</v>
      </c>
      <c r="F327">
        <v>0</v>
      </c>
      <c r="G327">
        <v>9</v>
      </c>
      <c r="H327">
        <f t="shared" si="155"/>
        <v>9</v>
      </c>
      <c r="I327">
        <f t="shared" si="156"/>
        <v>37.5</v>
      </c>
      <c r="J327">
        <v>0</v>
      </c>
      <c r="K327">
        <v>11</v>
      </c>
      <c r="L327">
        <f t="shared" si="157"/>
        <v>11</v>
      </c>
      <c r="M327">
        <f t="shared" si="158"/>
        <v>45.833300000000001</v>
      </c>
      <c r="N327">
        <v>0</v>
      </c>
      <c r="O327">
        <v>0</v>
      </c>
      <c r="P327">
        <f t="shared" si="159"/>
        <v>0</v>
      </c>
      <c r="Q327">
        <v>2</v>
      </c>
      <c r="R327">
        <v>39</v>
      </c>
      <c r="S327">
        <f t="shared" si="160"/>
        <v>41</v>
      </c>
      <c r="T327">
        <f t="shared" si="161"/>
        <v>1</v>
      </c>
      <c r="U327">
        <f t="shared" si="162"/>
        <v>23</v>
      </c>
      <c r="V327">
        <f t="shared" si="163"/>
        <v>24</v>
      </c>
    </row>
    <row r="329" spans="1:22" x14ac:dyDescent="0.25">
      <c r="A329" s="8" t="s">
        <v>319</v>
      </c>
      <c r="B329" s="8" t="s">
        <v>319</v>
      </c>
      <c r="C329" s="8" t="s">
        <v>319</v>
      </c>
      <c r="D329" s="8" t="s">
        <v>319</v>
      </c>
      <c r="E329" s="8" t="s">
        <v>319</v>
      </c>
      <c r="F329" s="8" t="s">
        <v>319</v>
      </c>
      <c r="G329" s="8" t="s">
        <v>319</v>
      </c>
      <c r="H329" s="8" t="s">
        <v>319</v>
      </c>
      <c r="I329" s="8" t="s">
        <v>319</v>
      </c>
      <c r="J329" s="8" t="s">
        <v>319</v>
      </c>
      <c r="K329" s="8" t="s">
        <v>319</v>
      </c>
      <c r="L329" s="8" t="s">
        <v>319</v>
      </c>
      <c r="M329" s="8" t="s">
        <v>319</v>
      </c>
      <c r="N329" s="8" t="s">
        <v>319</v>
      </c>
      <c r="O329" s="8" t="s">
        <v>319</v>
      </c>
      <c r="P329" s="8" t="s">
        <v>319</v>
      </c>
      <c r="Q329" s="8" t="s">
        <v>319</v>
      </c>
      <c r="R329" s="8" t="s">
        <v>319</v>
      </c>
      <c r="S329" s="8" t="s">
        <v>319</v>
      </c>
      <c r="T329" s="8" t="s">
        <v>319</v>
      </c>
      <c r="U329" s="8" t="s">
        <v>319</v>
      </c>
      <c r="V329" s="8" t="s">
        <v>319</v>
      </c>
    </row>
    <row r="330" spans="1:22" x14ac:dyDescent="0.25">
      <c r="A330" t="s">
        <v>320</v>
      </c>
      <c r="B330">
        <v>0</v>
      </c>
      <c r="C330">
        <v>7</v>
      </c>
      <c r="D330">
        <f>B330+C330</f>
        <v>7</v>
      </c>
      <c r="E330">
        <f>IF(V330&gt;0,ROUND((D330/V330) * 100, 4), "")</f>
        <v>70</v>
      </c>
      <c r="F330">
        <v>0</v>
      </c>
      <c r="G330">
        <v>2</v>
      </c>
      <c r="H330">
        <f>F330+G330</f>
        <v>2</v>
      </c>
      <c r="I330">
        <f>IF(V330&gt;0,ROUND((H330/V330) * 100, 4), "")</f>
        <v>20</v>
      </c>
      <c r="J330">
        <v>0</v>
      </c>
      <c r="K330">
        <v>1</v>
      </c>
      <c r="L330">
        <f>J330+K330</f>
        <v>1</v>
      </c>
      <c r="M330">
        <f>IF(V330&gt;0,ROUND((L330/V330) * 100, 4), "")</f>
        <v>10</v>
      </c>
      <c r="N330">
        <v>0</v>
      </c>
      <c r="O330">
        <v>2</v>
      </c>
      <c r="P330">
        <f>N330+O330</f>
        <v>2</v>
      </c>
      <c r="Q330">
        <v>0</v>
      </c>
      <c r="R330">
        <v>0</v>
      </c>
      <c r="S330">
        <f>Q330+R330</f>
        <v>0</v>
      </c>
      <c r="T330">
        <f>B330+F330+J330</f>
        <v>0</v>
      </c>
      <c r="U330">
        <f>C330+G330+K330</f>
        <v>10</v>
      </c>
      <c r="V330">
        <f>T330+U330</f>
        <v>10</v>
      </c>
    </row>
    <row r="331" spans="1:22" x14ac:dyDescent="0.25">
      <c r="A331" t="s">
        <v>321</v>
      </c>
      <c r="B331">
        <v>10</v>
      </c>
      <c r="C331">
        <v>6</v>
      </c>
      <c r="D331">
        <f>B331+C331</f>
        <v>16</v>
      </c>
      <c r="E331">
        <f>IF(V331&gt;0,ROUND((D331/V331) * 100, 4), "")</f>
        <v>55.172400000000003</v>
      </c>
      <c r="F331">
        <v>0</v>
      </c>
      <c r="G331">
        <v>0</v>
      </c>
      <c r="H331">
        <f>F331+G331</f>
        <v>0</v>
      </c>
      <c r="I331">
        <f>IF(V331&gt;0,ROUND((H331/V331) * 100, 4), "")</f>
        <v>0</v>
      </c>
      <c r="J331">
        <v>9</v>
      </c>
      <c r="K331">
        <v>4</v>
      </c>
      <c r="L331">
        <f>J331+K331</f>
        <v>13</v>
      </c>
      <c r="M331">
        <f>IF(V331&gt;0,ROUND((L331/V331) * 100, 4), "")</f>
        <v>44.827599999999997</v>
      </c>
      <c r="N331">
        <v>0</v>
      </c>
      <c r="O331">
        <v>0</v>
      </c>
      <c r="P331">
        <f>N331+O331</f>
        <v>0</v>
      </c>
      <c r="Q331">
        <v>0</v>
      </c>
      <c r="R331">
        <v>0</v>
      </c>
      <c r="S331">
        <f>Q331+R331</f>
        <v>0</v>
      </c>
      <c r="T331">
        <f>B331+F331+J331</f>
        <v>19</v>
      </c>
      <c r="U331">
        <f>C331+G331+K331</f>
        <v>10</v>
      </c>
      <c r="V331">
        <f>T331+U331</f>
        <v>29</v>
      </c>
    </row>
    <row r="333" spans="1:22" x14ac:dyDescent="0.25">
      <c r="A333" s="8" t="s">
        <v>322</v>
      </c>
      <c r="B333" s="8" t="s">
        <v>322</v>
      </c>
      <c r="C333" s="8" t="s">
        <v>322</v>
      </c>
      <c r="D333" s="8" t="s">
        <v>322</v>
      </c>
      <c r="E333" s="8" t="s">
        <v>322</v>
      </c>
      <c r="F333" s="8" t="s">
        <v>322</v>
      </c>
      <c r="G333" s="8" t="s">
        <v>322</v>
      </c>
      <c r="H333" s="8" t="s">
        <v>322</v>
      </c>
      <c r="I333" s="8" t="s">
        <v>322</v>
      </c>
      <c r="J333" s="8" t="s">
        <v>322</v>
      </c>
      <c r="K333" s="8" t="s">
        <v>322</v>
      </c>
      <c r="L333" s="8" t="s">
        <v>322</v>
      </c>
      <c r="M333" s="8" t="s">
        <v>322</v>
      </c>
      <c r="N333" s="8" t="s">
        <v>322</v>
      </c>
      <c r="O333" s="8" t="s">
        <v>322</v>
      </c>
      <c r="P333" s="8" t="s">
        <v>322</v>
      </c>
      <c r="Q333" s="8" t="s">
        <v>322</v>
      </c>
      <c r="R333" s="8" t="s">
        <v>322</v>
      </c>
      <c r="S333" s="8" t="s">
        <v>322</v>
      </c>
      <c r="T333" s="8" t="s">
        <v>322</v>
      </c>
      <c r="U333" s="8" t="s">
        <v>322</v>
      </c>
      <c r="V333" s="8" t="s">
        <v>322</v>
      </c>
    </row>
    <row r="334" spans="1:22" x14ac:dyDescent="0.25">
      <c r="A334" t="s">
        <v>323</v>
      </c>
      <c r="B334">
        <v>0</v>
      </c>
      <c r="C334">
        <v>0</v>
      </c>
      <c r="D334">
        <f>B334+C334</f>
        <v>0</v>
      </c>
      <c r="E334" t="str">
        <f>IF(V334&gt;0,ROUND((D334/V334) * 100, 4), "")</f>
        <v/>
      </c>
      <c r="F334">
        <v>0</v>
      </c>
      <c r="G334">
        <v>0</v>
      </c>
      <c r="H334">
        <f>F334+G334</f>
        <v>0</v>
      </c>
      <c r="I334" t="str">
        <f>IF(V334&gt;0,ROUND((H334/V334) * 100, 4), "")</f>
        <v/>
      </c>
      <c r="J334">
        <v>0</v>
      </c>
      <c r="K334">
        <v>0</v>
      </c>
      <c r="L334">
        <f>J334+K334</f>
        <v>0</v>
      </c>
      <c r="M334" t="str">
        <f>IF(V334&gt;0,ROUND((L334/V334) * 100, 4), "")</f>
        <v/>
      </c>
      <c r="N334">
        <v>0</v>
      </c>
      <c r="O334">
        <v>0</v>
      </c>
      <c r="P334">
        <f>N334+O334</f>
        <v>0</v>
      </c>
      <c r="Q334">
        <v>0</v>
      </c>
      <c r="R334">
        <v>0</v>
      </c>
      <c r="S334">
        <f>Q334+R334</f>
        <v>0</v>
      </c>
      <c r="T334">
        <f>B334+F334+J334</f>
        <v>0</v>
      </c>
      <c r="U334">
        <f>C334+G334+K334</f>
        <v>0</v>
      </c>
      <c r="V334">
        <f>T334+U334</f>
        <v>0</v>
      </c>
    </row>
    <row r="336" spans="1:22" x14ac:dyDescent="0.25">
      <c r="A336" s="9" t="s">
        <v>324</v>
      </c>
      <c r="B336" s="9">
        <f>SUM(B2:B335)</f>
        <v>3343</v>
      </c>
      <c r="C336" s="9">
        <f>SUM(C2:C335)</f>
        <v>811</v>
      </c>
      <c r="D336" s="9">
        <f>SUM(D2:D335)</f>
        <v>4154</v>
      </c>
      <c r="E336" s="1">
        <f>IF($V$336&gt;0,ROUND((D336/$V$336) * 100, 4), "")</f>
        <v>18.4025</v>
      </c>
      <c r="F336" s="9">
        <f>SUM(F2:F335)</f>
        <v>9489</v>
      </c>
      <c r="G336" s="9">
        <f>SUM(G2:G335)</f>
        <v>2845</v>
      </c>
      <c r="H336" s="9">
        <f>SUM(H2:H335)</f>
        <v>12334</v>
      </c>
      <c r="I336" s="9">
        <f>IF($V$336&gt;0,ROUND((H336/$V$336) * 100, 4), "")</f>
        <v>54.640500000000003</v>
      </c>
      <c r="J336" s="9">
        <f>SUM(J2:J335)</f>
        <v>3401</v>
      </c>
      <c r="K336" s="9">
        <f>SUM(K2:K335)</f>
        <v>2684</v>
      </c>
      <c r="L336" s="9">
        <f>SUM(L2:L335)</f>
        <v>6085</v>
      </c>
      <c r="M336" s="9">
        <f>IF($V$336&gt;0,ROUND((L336/$V$336) * 100, 4), "")</f>
        <v>26.957000000000001</v>
      </c>
      <c r="N336" s="9">
        <f t="shared" ref="N336:V336" si="164">SUM(N2:N335)</f>
        <v>455</v>
      </c>
      <c r="O336" s="9">
        <f t="shared" si="164"/>
        <v>293</v>
      </c>
      <c r="P336" s="9">
        <f t="shared" si="164"/>
        <v>748</v>
      </c>
      <c r="Q336" s="9">
        <f t="shared" si="164"/>
        <v>8766</v>
      </c>
      <c r="R336" s="9">
        <f t="shared" si="164"/>
        <v>1832</v>
      </c>
      <c r="S336" s="9">
        <f t="shared" si="164"/>
        <v>10598</v>
      </c>
      <c r="T336" s="9">
        <f t="shared" si="164"/>
        <v>16233</v>
      </c>
      <c r="U336" s="9">
        <f t="shared" si="164"/>
        <v>6340</v>
      </c>
      <c r="V336" s="9">
        <f t="shared" si="164"/>
        <v>22573</v>
      </c>
    </row>
  </sheetData>
  <mergeCells count="45">
    <mergeCell ref="S336"/>
    <mergeCell ref="T336"/>
    <mergeCell ref="U336"/>
    <mergeCell ref="V336"/>
    <mergeCell ref="N336"/>
    <mergeCell ref="O336"/>
    <mergeCell ref="P336"/>
    <mergeCell ref="Q336"/>
    <mergeCell ref="R336"/>
    <mergeCell ref="A281:V281"/>
    <mergeCell ref="A295:V295"/>
    <mergeCell ref="A329:V329"/>
    <mergeCell ref="A333:V333"/>
    <mergeCell ref="A336"/>
    <mergeCell ref="B336"/>
    <mergeCell ref="C336"/>
    <mergeCell ref="D336"/>
    <mergeCell ref="F336"/>
    <mergeCell ref="G336"/>
    <mergeCell ref="H336"/>
    <mergeCell ref="I336"/>
    <mergeCell ref="J336"/>
    <mergeCell ref="K336"/>
    <mergeCell ref="L336"/>
    <mergeCell ref="M336"/>
    <mergeCell ref="A138:V138"/>
    <mergeCell ref="A177:V177"/>
    <mergeCell ref="A193:V193"/>
    <mergeCell ref="A209:V209"/>
    <mergeCell ref="A253:V253"/>
    <mergeCell ref="A61:V61"/>
    <mergeCell ref="A87:V87"/>
    <mergeCell ref="A98:V98"/>
    <mergeCell ref="A114:V114"/>
    <mergeCell ref="A124:V124"/>
    <mergeCell ref="Q1:S1"/>
    <mergeCell ref="T1:V1"/>
    <mergeCell ref="A3:V3"/>
    <mergeCell ref="A16:V16"/>
    <mergeCell ref="A43:V43"/>
    <mergeCell ref="B1:E1"/>
    <mergeCell ref="F1:I1"/>
    <mergeCell ref="J1:M1"/>
    <mergeCell ref="N1:P1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6"/>
  <sheetViews>
    <sheetView workbookViewId="0">
      <pane ySplit="2" topLeftCell="A3" activePane="bottomLeft" state="frozen"/>
      <selection pane="bottomLeft" activeCell="I9" sqref="I9"/>
    </sheetView>
  </sheetViews>
  <sheetFormatPr defaultRowHeight="15" x14ac:dyDescent="0.25"/>
  <cols>
    <col min="1" max="1" width="50" customWidth="1"/>
  </cols>
  <sheetData>
    <row r="1" spans="1:19" ht="28.9" customHeight="1" x14ac:dyDescent="0.25">
      <c r="A1" s="9" t="s">
        <v>0</v>
      </c>
      <c r="B1" s="12" t="s">
        <v>332</v>
      </c>
      <c r="C1" s="12" t="s">
        <v>332</v>
      </c>
      <c r="D1" s="12" t="s">
        <v>332</v>
      </c>
      <c r="E1" s="12" t="s">
        <v>333</v>
      </c>
      <c r="F1" s="12" t="s">
        <v>333</v>
      </c>
      <c r="G1" s="12" t="s">
        <v>333</v>
      </c>
      <c r="H1" s="12" t="s">
        <v>334</v>
      </c>
      <c r="I1" s="12" t="s">
        <v>334</v>
      </c>
      <c r="J1" s="12" t="s">
        <v>334</v>
      </c>
      <c r="K1" s="12" t="s">
        <v>335</v>
      </c>
      <c r="L1" s="12" t="s">
        <v>335</v>
      </c>
      <c r="M1" s="12" t="s">
        <v>335</v>
      </c>
      <c r="N1" s="12" t="s">
        <v>336</v>
      </c>
      <c r="O1" s="12" t="s">
        <v>336</v>
      </c>
      <c r="P1" s="12" t="s">
        <v>336</v>
      </c>
      <c r="Q1" s="12" t="s">
        <v>337</v>
      </c>
      <c r="R1" s="12" t="s">
        <v>337</v>
      </c>
      <c r="S1" s="12" t="s">
        <v>337</v>
      </c>
    </row>
    <row r="2" spans="1:19" x14ac:dyDescent="0.25">
      <c r="B2" s="3" t="s">
        <v>339</v>
      </c>
      <c r="C2" s="3" t="s">
        <v>340</v>
      </c>
      <c r="D2" s="3" t="s">
        <v>324</v>
      </c>
      <c r="E2" s="3" t="s">
        <v>339</v>
      </c>
      <c r="F2" s="3" t="s">
        <v>340</v>
      </c>
      <c r="G2" s="3" t="s">
        <v>324</v>
      </c>
      <c r="H2" s="3" t="s">
        <v>339</v>
      </c>
      <c r="I2" s="3" t="s">
        <v>340</v>
      </c>
      <c r="J2" s="3" t="s">
        <v>324</v>
      </c>
      <c r="K2" s="3" t="s">
        <v>339</v>
      </c>
      <c r="L2" s="3" t="s">
        <v>340</v>
      </c>
      <c r="M2" s="3" t="s">
        <v>324</v>
      </c>
      <c r="N2" s="3" t="s">
        <v>339</v>
      </c>
      <c r="O2" s="3" t="s">
        <v>340</v>
      </c>
      <c r="P2" s="3" t="s">
        <v>324</v>
      </c>
      <c r="Q2" s="3" t="s">
        <v>339</v>
      </c>
      <c r="R2" s="3" t="s">
        <v>340</v>
      </c>
      <c r="S2" s="3" t="s">
        <v>324</v>
      </c>
    </row>
    <row r="3" spans="1:19" x14ac:dyDescent="0.25">
      <c r="A3" s="8" t="s">
        <v>8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 t="s">
        <v>8</v>
      </c>
      <c r="S3" s="8" t="s">
        <v>8</v>
      </c>
    </row>
    <row r="4" spans="1:19" x14ac:dyDescent="0.25">
      <c r="A4" t="s">
        <v>9</v>
      </c>
      <c r="B4">
        <v>0</v>
      </c>
      <c r="C4">
        <v>0</v>
      </c>
      <c r="D4">
        <f t="shared" ref="D4:D14" si="0">B4+C4</f>
        <v>0</v>
      </c>
      <c r="E4">
        <v>0</v>
      </c>
      <c r="F4">
        <v>0</v>
      </c>
      <c r="G4">
        <f t="shared" ref="G4:G14" si="1">E4+F4</f>
        <v>0</v>
      </c>
      <c r="H4">
        <v>0</v>
      </c>
      <c r="I4">
        <v>0</v>
      </c>
      <c r="J4">
        <f t="shared" ref="J4:J14" si="2">H4+I4</f>
        <v>0</v>
      </c>
      <c r="K4">
        <v>0</v>
      </c>
      <c r="L4">
        <v>0</v>
      </c>
      <c r="M4">
        <f t="shared" ref="M4:M14" si="3">K4+L4</f>
        <v>0</v>
      </c>
      <c r="N4">
        <v>0</v>
      </c>
      <c r="O4">
        <v>0</v>
      </c>
      <c r="P4">
        <f t="shared" ref="P4:P14" si="4">N4+O4</f>
        <v>0</v>
      </c>
      <c r="Q4">
        <v>0</v>
      </c>
      <c r="R4">
        <v>0</v>
      </c>
      <c r="S4">
        <f t="shared" ref="S4:S14" si="5">Q4+R4</f>
        <v>0</v>
      </c>
    </row>
    <row r="5" spans="1:19" x14ac:dyDescent="0.25">
      <c r="A5" t="s">
        <v>10</v>
      </c>
      <c r="B5">
        <v>0</v>
      </c>
      <c r="C5">
        <v>0</v>
      </c>
      <c r="D5">
        <f t="shared" si="0"/>
        <v>0</v>
      </c>
      <c r="E5">
        <v>0</v>
      </c>
      <c r="F5">
        <v>0</v>
      </c>
      <c r="G5">
        <f t="shared" si="1"/>
        <v>0</v>
      </c>
      <c r="H5">
        <v>0</v>
      </c>
      <c r="I5">
        <v>0</v>
      </c>
      <c r="J5">
        <f t="shared" si="2"/>
        <v>0</v>
      </c>
      <c r="K5">
        <v>0</v>
      </c>
      <c r="L5">
        <v>0</v>
      </c>
      <c r="M5">
        <f t="shared" si="3"/>
        <v>0</v>
      </c>
      <c r="N5">
        <v>0</v>
      </c>
      <c r="O5">
        <v>0</v>
      </c>
      <c r="P5">
        <f t="shared" si="4"/>
        <v>0</v>
      </c>
      <c r="Q5">
        <v>0</v>
      </c>
      <c r="R5">
        <v>0</v>
      </c>
      <c r="S5">
        <f t="shared" si="5"/>
        <v>0</v>
      </c>
    </row>
    <row r="6" spans="1:19" x14ac:dyDescent="0.25">
      <c r="A6" t="s">
        <v>11</v>
      </c>
      <c r="B6">
        <v>0</v>
      </c>
      <c r="C6">
        <v>3</v>
      </c>
      <c r="D6">
        <f t="shared" si="0"/>
        <v>3</v>
      </c>
      <c r="E6">
        <v>0</v>
      </c>
      <c r="F6">
        <v>2</v>
      </c>
      <c r="G6">
        <f t="shared" si="1"/>
        <v>2</v>
      </c>
      <c r="H6">
        <v>0</v>
      </c>
      <c r="I6">
        <v>1</v>
      </c>
      <c r="J6">
        <f t="shared" si="2"/>
        <v>1</v>
      </c>
      <c r="K6">
        <v>0</v>
      </c>
      <c r="L6">
        <v>0</v>
      </c>
      <c r="M6">
        <f t="shared" si="3"/>
        <v>0</v>
      </c>
      <c r="N6">
        <v>0</v>
      </c>
      <c r="O6">
        <v>0</v>
      </c>
      <c r="P6">
        <f t="shared" si="4"/>
        <v>0</v>
      </c>
      <c r="Q6">
        <v>0</v>
      </c>
      <c r="R6">
        <v>0</v>
      </c>
      <c r="S6">
        <f t="shared" si="5"/>
        <v>0</v>
      </c>
    </row>
    <row r="7" spans="1:19" x14ac:dyDescent="0.25">
      <c r="A7" t="s">
        <v>12</v>
      </c>
      <c r="B7">
        <v>0</v>
      </c>
      <c r="C7">
        <v>16</v>
      </c>
      <c r="D7">
        <f t="shared" si="0"/>
        <v>16</v>
      </c>
      <c r="E7">
        <v>0</v>
      </c>
      <c r="F7">
        <v>11</v>
      </c>
      <c r="G7">
        <f t="shared" si="1"/>
        <v>11</v>
      </c>
      <c r="H7">
        <v>0</v>
      </c>
      <c r="I7">
        <v>3</v>
      </c>
      <c r="J7">
        <f t="shared" si="2"/>
        <v>3</v>
      </c>
      <c r="K7">
        <v>0</v>
      </c>
      <c r="L7">
        <v>0</v>
      </c>
      <c r="M7">
        <f t="shared" si="3"/>
        <v>0</v>
      </c>
      <c r="N7">
        <v>0</v>
      </c>
      <c r="O7">
        <v>1</v>
      </c>
      <c r="P7">
        <f t="shared" si="4"/>
        <v>1</v>
      </c>
      <c r="Q7">
        <v>0</v>
      </c>
      <c r="R7">
        <v>1</v>
      </c>
      <c r="S7">
        <f t="shared" si="5"/>
        <v>1</v>
      </c>
    </row>
    <row r="8" spans="1:19" x14ac:dyDescent="0.25">
      <c r="A8" t="s">
        <v>13</v>
      </c>
      <c r="B8">
        <v>0</v>
      </c>
      <c r="C8">
        <v>1</v>
      </c>
      <c r="D8">
        <f t="shared" si="0"/>
        <v>1</v>
      </c>
      <c r="E8">
        <v>0</v>
      </c>
      <c r="F8">
        <v>1</v>
      </c>
      <c r="G8">
        <f t="shared" si="1"/>
        <v>1</v>
      </c>
      <c r="H8">
        <v>0</v>
      </c>
      <c r="I8">
        <v>0</v>
      </c>
      <c r="J8">
        <f t="shared" si="2"/>
        <v>0</v>
      </c>
      <c r="K8">
        <v>0</v>
      </c>
      <c r="L8">
        <v>0</v>
      </c>
      <c r="M8">
        <f t="shared" si="3"/>
        <v>0</v>
      </c>
      <c r="N8">
        <v>0</v>
      </c>
      <c r="O8">
        <v>0</v>
      </c>
      <c r="P8">
        <f t="shared" si="4"/>
        <v>0</v>
      </c>
      <c r="Q8">
        <v>0</v>
      </c>
      <c r="R8">
        <v>0</v>
      </c>
      <c r="S8">
        <f t="shared" si="5"/>
        <v>0</v>
      </c>
    </row>
    <row r="9" spans="1:19" x14ac:dyDescent="0.25">
      <c r="A9" t="s">
        <v>14</v>
      </c>
      <c r="B9">
        <v>14</v>
      </c>
      <c r="C9">
        <v>47</v>
      </c>
      <c r="D9">
        <f t="shared" si="0"/>
        <v>61</v>
      </c>
      <c r="E9">
        <v>14</v>
      </c>
      <c r="F9">
        <v>47</v>
      </c>
      <c r="G9">
        <f t="shared" si="1"/>
        <v>61</v>
      </c>
      <c r="H9">
        <v>0</v>
      </c>
      <c r="I9">
        <v>0</v>
      </c>
      <c r="J9">
        <f t="shared" si="2"/>
        <v>0</v>
      </c>
      <c r="K9">
        <v>0</v>
      </c>
      <c r="L9">
        <v>0</v>
      </c>
      <c r="M9">
        <f t="shared" si="3"/>
        <v>0</v>
      </c>
      <c r="N9">
        <v>0</v>
      </c>
      <c r="O9">
        <v>0</v>
      </c>
      <c r="P9">
        <f t="shared" si="4"/>
        <v>0</v>
      </c>
      <c r="Q9">
        <v>0</v>
      </c>
      <c r="R9">
        <v>0</v>
      </c>
      <c r="S9">
        <f t="shared" si="5"/>
        <v>0</v>
      </c>
    </row>
    <row r="10" spans="1:19" x14ac:dyDescent="0.25">
      <c r="A10" t="s">
        <v>15</v>
      </c>
      <c r="B10">
        <v>0</v>
      </c>
      <c r="C10">
        <v>0</v>
      </c>
      <c r="D10">
        <f t="shared" si="0"/>
        <v>0</v>
      </c>
      <c r="E10">
        <v>0</v>
      </c>
      <c r="F10">
        <v>0</v>
      </c>
      <c r="G10">
        <f t="shared" si="1"/>
        <v>0</v>
      </c>
      <c r="H10">
        <v>0</v>
      </c>
      <c r="I10">
        <v>0</v>
      </c>
      <c r="J10">
        <f t="shared" si="2"/>
        <v>0</v>
      </c>
      <c r="K10">
        <v>0</v>
      </c>
      <c r="L10">
        <v>0</v>
      </c>
      <c r="M10">
        <f t="shared" si="3"/>
        <v>0</v>
      </c>
      <c r="N10">
        <v>0</v>
      </c>
      <c r="O10">
        <v>0</v>
      </c>
      <c r="P10">
        <f t="shared" si="4"/>
        <v>0</v>
      </c>
      <c r="Q10">
        <v>0</v>
      </c>
      <c r="R10">
        <v>0</v>
      </c>
      <c r="S10">
        <f t="shared" si="5"/>
        <v>0</v>
      </c>
    </row>
    <row r="11" spans="1:19" x14ac:dyDescent="0.25">
      <c r="A11" t="s">
        <v>16</v>
      </c>
      <c r="B11">
        <v>1</v>
      </c>
      <c r="C11">
        <v>3</v>
      </c>
      <c r="D11">
        <f t="shared" si="0"/>
        <v>4</v>
      </c>
      <c r="E11">
        <v>1</v>
      </c>
      <c r="F11">
        <v>3</v>
      </c>
      <c r="G11">
        <f t="shared" si="1"/>
        <v>4</v>
      </c>
      <c r="H11">
        <v>0</v>
      </c>
      <c r="I11">
        <v>0</v>
      </c>
      <c r="J11">
        <f t="shared" si="2"/>
        <v>0</v>
      </c>
      <c r="K11">
        <v>0</v>
      </c>
      <c r="L11">
        <v>0</v>
      </c>
      <c r="M11">
        <f t="shared" si="3"/>
        <v>0</v>
      </c>
      <c r="N11">
        <v>0</v>
      </c>
      <c r="O11">
        <v>0</v>
      </c>
      <c r="P11">
        <f t="shared" si="4"/>
        <v>0</v>
      </c>
      <c r="Q11">
        <v>0</v>
      </c>
      <c r="R11">
        <v>0</v>
      </c>
      <c r="S11">
        <f t="shared" si="5"/>
        <v>0</v>
      </c>
    </row>
    <row r="12" spans="1:19" x14ac:dyDescent="0.25">
      <c r="A12" t="s">
        <v>17</v>
      </c>
      <c r="B12">
        <v>0</v>
      </c>
      <c r="C12">
        <v>1</v>
      </c>
      <c r="D12">
        <f t="shared" si="0"/>
        <v>1</v>
      </c>
      <c r="E12">
        <v>0</v>
      </c>
      <c r="F12">
        <v>1</v>
      </c>
      <c r="G12">
        <f t="shared" si="1"/>
        <v>1</v>
      </c>
      <c r="H12">
        <v>0</v>
      </c>
      <c r="I12">
        <v>0</v>
      </c>
      <c r="J12">
        <f t="shared" si="2"/>
        <v>0</v>
      </c>
      <c r="K12">
        <v>0</v>
      </c>
      <c r="L12">
        <v>0</v>
      </c>
      <c r="M12">
        <f t="shared" si="3"/>
        <v>0</v>
      </c>
      <c r="N12">
        <v>0</v>
      </c>
      <c r="O12">
        <v>0</v>
      </c>
      <c r="P12">
        <f t="shared" si="4"/>
        <v>0</v>
      </c>
      <c r="Q12">
        <v>0</v>
      </c>
      <c r="R12">
        <v>0</v>
      </c>
      <c r="S12">
        <f t="shared" si="5"/>
        <v>0</v>
      </c>
    </row>
    <row r="13" spans="1:19" x14ac:dyDescent="0.25">
      <c r="A13" t="s">
        <v>18</v>
      </c>
      <c r="B13">
        <v>0</v>
      </c>
      <c r="C13">
        <v>0</v>
      </c>
      <c r="D13">
        <f t="shared" si="0"/>
        <v>0</v>
      </c>
      <c r="E13">
        <v>0</v>
      </c>
      <c r="F13">
        <v>0</v>
      </c>
      <c r="G13">
        <f t="shared" si="1"/>
        <v>0</v>
      </c>
      <c r="H13">
        <v>0</v>
      </c>
      <c r="I13">
        <v>0</v>
      </c>
      <c r="J13">
        <f t="shared" si="2"/>
        <v>0</v>
      </c>
      <c r="K13">
        <v>0</v>
      </c>
      <c r="L13">
        <v>0</v>
      </c>
      <c r="M13">
        <f t="shared" si="3"/>
        <v>0</v>
      </c>
      <c r="N13">
        <v>0</v>
      </c>
      <c r="O13">
        <v>0</v>
      </c>
      <c r="P13">
        <f t="shared" si="4"/>
        <v>0</v>
      </c>
      <c r="Q13">
        <v>0</v>
      </c>
      <c r="R13">
        <v>0</v>
      </c>
      <c r="S13">
        <f t="shared" si="5"/>
        <v>0</v>
      </c>
    </row>
    <row r="14" spans="1:19" x14ac:dyDescent="0.25">
      <c r="A14" t="s">
        <v>19</v>
      </c>
      <c r="B14">
        <v>0</v>
      </c>
      <c r="C14">
        <v>1</v>
      </c>
      <c r="D14">
        <f t="shared" si="0"/>
        <v>1</v>
      </c>
      <c r="E14">
        <v>0</v>
      </c>
      <c r="F14">
        <v>0</v>
      </c>
      <c r="G14">
        <f t="shared" si="1"/>
        <v>0</v>
      </c>
      <c r="H14">
        <v>0</v>
      </c>
      <c r="I14">
        <v>1</v>
      </c>
      <c r="J14">
        <f t="shared" si="2"/>
        <v>1</v>
      </c>
      <c r="K14">
        <v>0</v>
      </c>
      <c r="L14">
        <v>0</v>
      </c>
      <c r="M14">
        <f t="shared" si="3"/>
        <v>0</v>
      </c>
      <c r="N14">
        <v>0</v>
      </c>
      <c r="O14">
        <v>0</v>
      </c>
      <c r="P14">
        <f t="shared" si="4"/>
        <v>0</v>
      </c>
      <c r="Q14">
        <v>0</v>
      </c>
      <c r="R14">
        <v>0</v>
      </c>
      <c r="S14">
        <f t="shared" si="5"/>
        <v>0</v>
      </c>
    </row>
    <row r="16" spans="1:19" x14ac:dyDescent="0.25">
      <c r="A16" s="8" t="s">
        <v>20</v>
      </c>
      <c r="B16" s="8" t="s">
        <v>20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20</v>
      </c>
      <c r="M16" s="8" t="s">
        <v>20</v>
      </c>
      <c r="N16" s="8" t="s">
        <v>20</v>
      </c>
      <c r="O16" s="8" t="s">
        <v>20</v>
      </c>
      <c r="P16" s="8" t="s">
        <v>20</v>
      </c>
      <c r="Q16" s="8" t="s">
        <v>20</v>
      </c>
      <c r="R16" s="8" t="s">
        <v>20</v>
      </c>
      <c r="S16" s="8" t="s">
        <v>20</v>
      </c>
    </row>
    <row r="17" spans="1:19" x14ac:dyDescent="0.25">
      <c r="A17" t="s">
        <v>21</v>
      </c>
      <c r="B17">
        <v>0</v>
      </c>
      <c r="C17">
        <v>0</v>
      </c>
      <c r="D17">
        <f t="shared" ref="D17:D41" si="6">B17+C17</f>
        <v>0</v>
      </c>
      <c r="E17">
        <v>0</v>
      </c>
      <c r="F17">
        <v>0</v>
      </c>
      <c r="G17">
        <f t="shared" ref="G17:G41" si="7">E17+F17</f>
        <v>0</v>
      </c>
      <c r="H17">
        <v>0</v>
      </c>
      <c r="I17">
        <v>0</v>
      </c>
      <c r="J17">
        <f t="shared" ref="J17:J41" si="8">H17+I17</f>
        <v>0</v>
      </c>
      <c r="K17">
        <v>0</v>
      </c>
      <c r="L17">
        <v>0</v>
      </c>
      <c r="M17">
        <f t="shared" ref="M17:M41" si="9">K17+L17</f>
        <v>0</v>
      </c>
      <c r="N17">
        <v>0</v>
      </c>
      <c r="O17">
        <v>0</v>
      </c>
      <c r="P17">
        <f t="shared" ref="P17:P41" si="10">N17+O17</f>
        <v>0</v>
      </c>
      <c r="Q17">
        <v>0</v>
      </c>
      <c r="R17">
        <v>0</v>
      </c>
      <c r="S17">
        <f t="shared" ref="S17:S41" si="11">Q17+R17</f>
        <v>0</v>
      </c>
    </row>
    <row r="18" spans="1:19" x14ac:dyDescent="0.25">
      <c r="A18" t="s">
        <v>22</v>
      </c>
      <c r="B18">
        <v>2098</v>
      </c>
      <c r="C18">
        <v>24</v>
      </c>
      <c r="D18">
        <f t="shared" si="6"/>
        <v>2122</v>
      </c>
      <c r="E18">
        <v>2092</v>
      </c>
      <c r="F18">
        <v>24</v>
      </c>
      <c r="G18">
        <f t="shared" si="7"/>
        <v>2116</v>
      </c>
      <c r="H18">
        <v>4</v>
      </c>
      <c r="I18">
        <v>0</v>
      </c>
      <c r="J18">
        <f t="shared" si="8"/>
        <v>4</v>
      </c>
      <c r="K18">
        <v>0</v>
      </c>
      <c r="L18">
        <v>0</v>
      </c>
      <c r="M18">
        <f t="shared" si="9"/>
        <v>0</v>
      </c>
      <c r="N18">
        <v>1</v>
      </c>
      <c r="O18">
        <v>0</v>
      </c>
      <c r="P18">
        <f t="shared" si="10"/>
        <v>1</v>
      </c>
      <c r="Q18">
        <v>1</v>
      </c>
      <c r="R18">
        <v>0</v>
      </c>
      <c r="S18">
        <f t="shared" si="11"/>
        <v>1</v>
      </c>
    </row>
    <row r="19" spans="1:19" x14ac:dyDescent="0.25">
      <c r="A19" t="s">
        <v>23</v>
      </c>
      <c r="B19">
        <v>0</v>
      </c>
      <c r="C19">
        <v>0</v>
      </c>
      <c r="D19">
        <f t="shared" si="6"/>
        <v>0</v>
      </c>
      <c r="E19">
        <v>0</v>
      </c>
      <c r="F19">
        <v>0</v>
      </c>
      <c r="G19">
        <f t="shared" si="7"/>
        <v>0</v>
      </c>
      <c r="H19">
        <v>0</v>
      </c>
      <c r="I19">
        <v>0</v>
      </c>
      <c r="J19">
        <f t="shared" si="8"/>
        <v>0</v>
      </c>
      <c r="K19">
        <v>0</v>
      </c>
      <c r="L19">
        <v>0</v>
      </c>
      <c r="M19">
        <f t="shared" si="9"/>
        <v>0</v>
      </c>
      <c r="N19">
        <v>0</v>
      </c>
      <c r="O19">
        <v>0</v>
      </c>
      <c r="P19">
        <f t="shared" si="10"/>
        <v>0</v>
      </c>
      <c r="Q19">
        <v>0</v>
      </c>
      <c r="R19">
        <v>0</v>
      </c>
      <c r="S19">
        <f t="shared" si="11"/>
        <v>0</v>
      </c>
    </row>
    <row r="20" spans="1:19" x14ac:dyDescent="0.25">
      <c r="A20" t="s">
        <v>24</v>
      </c>
      <c r="B20">
        <v>2</v>
      </c>
      <c r="C20">
        <v>10</v>
      </c>
      <c r="D20">
        <f t="shared" si="6"/>
        <v>12</v>
      </c>
      <c r="E20">
        <v>2</v>
      </c>
      <c r="F20">
        <v>5</v>
      </c>
      <c r="G20">
        <f t="shared" si="7"/>
        <v>7</v>
      </c>
      <c r="H20">
        <v>0</v>
      </c>
      <c r="I20">
        <v>4</v>
      </c>
      <c r="J20">
        <f t="shared" si="8"/>
        <v>4</v>
      </c>
      <c r="K20">
        <v>0</v>
      </c>
      <c r="L20">
        <v>1</v>
      </c>
      <c r="M20">
        <f t="shared" si="9"/>
        <v>1</v>
      </c>
      <c r="N20">
        <v>0</v>
      </c>
      <c r="O20">
        <v>0</v>
      </c>
      <c r="P20">
        <f t="shared" si="10"/>
        <v>0</v>
      </c>
      <c r="Q20">
        <v>0</v>
      </c>
      <c r="R20">
        <v>0</v>
      </c>
      <c r="S20">
        <f t="shared" si="11"/>
        <v>0</v>
      </c>
    </row>
    <row r="21" spans="1:19" x14ac:dyDescent="0.25">
      <c r="A21" t="s">
        <v>25</v>
      </c>
      <c r="B21">
        <v>61</v>
      </c>
      <c r="C21">
        <v>156</v>
      </c>
      <c r="D21">
        <f t="shared" si="6"/>
        <v>217</v>
      </c>
      <c r="E21">
        <v>59</v>
      </c>
      <c r="F21">
        <v>133</v>
      </c>
      <c r="G21">
        <f t="shared" si="7"/>
        <v>192</v>
      </c>
      <c r="H21">
        <v>0</v>
      </c>
      <c r="I21">
        <v>11</v>
      </c>
      <c r="J21">
        <f t="shared" si="8"/>
        <v>11</v>
      </c>
      <c r="K21">
        <v>1</v>
      </c>
      <c r="L21">
        <v>4</v>
      </c>
      <c r="M21">
        <f t="shared" si="9"/>
        <v>5</v>
      </c>
      <c r="N21">
        <v>0</v>
      </c>
      <c r="O21">
        <v>1</v>
      </c>
      <c r="P21">
        <f t="shared" si="10"/>
        <v>1</v>
      </c>
      <c r="Q21">
        <v>1</v>
      </c>
      <c r="R21">
        <v>7</v>
      </c>
      <c r="S21">
        <f t="shared" si="11"/>
        <v>8</v>
      </c>
    </row>
    <row r="22" spans="1:19" x14ac:dyDescent="0.25">
      <c r="A22" t="s">
        <v>26</v>
      </c>
      <c r="B22">
        <v>0</v>
      </c>
      <c r="C22">
        <v>1</v>
      </c>
      <c r="D22">
        <f t="shared" si="6"/>
        <v>1</v>
      </c>
      <c r="E22">
        <v>0</v>
      </c>
      <c r="F22">
        <v>1</v>
      </c>
      <c r="G22">
        <f t="shared" si="7"/>
        <v>1</v>
      </c>
      <c r="H22">
        <v>0</v>
      </c>
      <c r="I22">
        <v>0</v>
      </c>
      <c r="J22">
        <f t="shared" si="8"/>
        <v>0</v>
      </c>
      <c r="K22">
        <v>0</v>
      </c>
      <c r="L22">
        <v>0</v>
      </c>
      <c r="M22">
        <f t="shared" si="9"/>
        <v>0</v>
      </c>
      <c r="N22">
        <v>0</v>
      </c>
      <c r="O22">
        <v>0</v>
      </c>
      <c r="P22">
        <f t="shared" si="10"/>
        <v>0</v>
      </c>
      <c r="Q22">
        <v>0</v>
      </c>
      <c r="R22">
        <v>0</v>
      </c>
      <c r="S22">
        <f t="shared" si="11"/>
        <v>0</v>
      </c>
    </row>
    <row r="23" spans="1:19" x14ac:dyDescent="0.25">
      <c r="A23" t="s">
        <v>27</v>
      </c>
      <c r="B23">
        <v>8</v>
      </c>
      <c r="C23">
        <v>33</v>
      </c>
      <c r="D23">
        <f t="shared" si="6"/>
        <v>41</v>
      </c>
      <c r="E23">
        <v>6</v>
      </c>
      <c r="F23">
        <v>25</v>
      </c>
      <c r="G23">
        <f t="shared" si="7"/>
        <v>31</v>
      </c>
      <c r="H23">
        <v>2</v>
      </c>
      <c r="I23">
        <v>8</v>
      </c>
      <c r="J23">
        <f t="shared" si="8"/>
        <v>10</v>
      </c>
      <c r="K23">
        <v>0</v>
      </c>
      <c r="L23">
        <v>0</v>
      </c>
      <c r="M23">
        <f t="shared" si="9"/>
        <v>0</v>
      </c>
      <c r="N23">
        <v>0</v>
      </c>
      <c r="O23">
        <v>0</v>
      </c>
      <c r="P23">
        <f t="shared" si="10"/>
        <v>0</v>
      </c>
      <c r="Q23">
        <v>0</v>
      </c>
      <c r="R23">
        <v>0</v>
      </c>
      <c r="S23">
        <f t="shared" si="11"/>
        <v>0</v>
      </c>
    </row>
    <row r="24" spans="1:19" x14ac:dyDescent="0.25">
      <c r="A24" t="s">
        <v>28</v>
      </c>
      <c r="B24">
        <v>0</v>
      </c>
      <c r="C24">
        <v>3</v>
      </c>
      <c r="D24">
        <f t="shared" si="6"/>
        <v>3</v>
      </c>
      <c r="E24">
        <v>0</v>
      </c>
      <c r="F24">
        <v>3</v>
      </c>
      <c r="G24">
        <f t="shared" si="7"/>
        <v>3</v>
      </c>
      <c r="H24">
        <v>0</v>
      </c>
      <c r="I24">
        <v>0</v>
      </c>
      <c r="J24">
        <f t="shared" si="8"/>
        <v>0</v>
      </c>
      <c r="K24">
        <v>0</v>
      </c>
      <c r="L24">
        <v>0</v>
      </c>
      <c r="M24">
        <f t="shared" si="9"/>
        <v>0</v>
      </c>
      <c r="N24">
        <v>0</v>
      </c>
      <c r="O24">
        <v>0</v>
      </c>
      <c r="P24">
        <f t="shared" si="10"/>
        <v>0</v>
      </c>
      <c r="Q24">
        <v>0</v>
      </c>
      <c r="R24">
        <v>0</v>
      </c>
      <c r="S24">
        <f t="shared" si="11"/>
        <v>0</v>
      </c>
    </row>
    <row r="25" spans="1:19" x14ac:dyDescent="0.25">
      <c r="A25" t="s">
        <v>29</v>
      </c>
      <c r="B25">
        <v>91</v>
      </c>
      <c r="C25">
        <v>41</v>
      </c>
      <c r="D25">
        <f t="shared" si="6"/>
        <v>132</v>
      </c>
      <c r="E25">
        <v>89</v>
      </c>
      <c r="F25">
        <v>41</v>
      </c>
      <c r="G25">
        <f t="shared" si="7"/>
        <v>130</v>
      </c>
      <c r="H25">
        <v>0</v>
      </c>
      <c r="I25">
        <v>0</v>
      </c>
      <c r="J25">
        <f t="shared" si="8"/>
        <v>0</v>
      </c>
      <c r="K25">
        <v>2</v>
      </c>
      <c r="L25">
        <v>0</v>
      </c>
      <c r="M25">
        <f t="shared" si="9"/>
        <v>2</v>
      </c>
      <c r="N25">
        <v>0</v>
      </c>
      <c r="O25">
        <v>0</v>
      </c>
      <c r="P25">
        <f t="shared" si="10"/>
        <v>0</v>
      </c>
      <c r="Q25">
        <v>0</v>
      </c>
      <c r="R25">
        <v>0</v>
      </c>
      <c r="S25">
        <f t="shared" si="11"/>
        <v>0</v>
      </c>
    </row>
    <row r="26" spans="1:19" x14ac:dyDescent="0.25">
      <c r="A26" t="s">
        <v>30</v>
      </c>
      <c r="B26">
        <v>0</v>
      </c>
      <c r="C26">
        <v>0</v>
      </c>
      <c r="D26">
        <f t="shared" si="6"/>
        <v>0</v>
      </c>
      <c r="E26">
        <v>0</v>
      </c>
      <c r="F26">
        <v>0</v>
      </c>
      <c r="G26">
        <f t="shared" si="7"/>
        <v>0</v>
      </c>
      <c r="H26">
        <v>0</v>
      </c>
      <c r="I26">
        <v>0</v>
      </c>
      <c r="J26">
        <f t="shared" si="8"/>
        <v>0</v>
      </c>
      <c r="K26">
        <v>0</v>
      </c>
      <c r="L26">
        <v>0</v>
      </c>
      <c r="M26">
        <f t="shared" si="9"/>
        <v>0</v>
      </c>
      <c r="N26">
        <v>0</v>
      </c>
      <c r="O26">
        <v>0</v>
      </c>
      <c r="P26">
        <f t="shared" si="10"/>
        <v>0</v>
      </c>
      <c r="Q26">
        <v>0</v>
      </c>
      <c r="R26">
        <v>0</v>
      </c>
      <c r="S26">
        <f t="shared" si="11"/>
        <v>0</v>
      </c>
    </row>
    <row r="27" spans="1:19" x14ac:dyDescent="0.25">
      <c r="A27" t="s">
        <v>31</v>
      </c>
      <c r="B27">
        <v>0</v>
      </c>
      <c r="C27">
        <v>0</v>
      </c>
      <c r="D27">
        <f t="shared" si="6"/>
        <v>0</v>
      </c>
      <c r="E27">
        <v>0</v>
      </c>
      <c r="F27">
        <v>0</v>
      </c>
      <c r="G27">
        <f t="shared" si="7"/>
        <v>0</v>
      </c>
      <c r="H27">
        <v>0</v>
      </c>
      <c r="I27">
        <v>0</v>
      </c>
      <c r="J27">
        <f t="shared" si="8"/>
        <v>0</v>
      </c>
      <c r="K27">
        <v>0</v>
      </c>
      <c r="L27">
        <v>0</v>
      </c>
      <c r="M27">
        <f t="shared" si="9"/>
        <v>0</v>
      </c>
      <c r="N27">
        <v>0</v>
      </c>
      <c r="O27">
        <v>0</v>
      </c>
      <c r="P27">
        <f t="shared" si="10"/>
        <v>0</v>
      </c>
      <c r="Q27">
        <v>0</v>
      </c>
      <c r="R27">
        <v>0</v>
      </c>
      <c r="S27">
        <f t="shared" si="11"/>
        <v>0</v>
      </c>
    </row>
    <row r="28" spans="1:19" x14ac:dyDescent="0.25">
      <c r="A28" t="s">
        <v>32</v>
      </c>
      <c r="B28">
        <v>0</v>
      </c>
      <c r="C28">
        <v>0</v>
      </c>
      <c r="D28">
        <f t="shared" si="6"/>
        <v>0</v>
      </c>
      <c r="E28">
        <v>0</v>
      </c>
      <c r="F28">
        <v>0</v>
      </c>
      <c r="G28">
        <f t="shared" si="7"/>
        <v>0</v>
      </c>
      <c r="H28">
        <v>0</v>
      </c>
      <c r="I28">
        <v>0</v>
      </c>
      <c r="J28">
        <f t="shared" si="8"/>
        <v>0</v>
      </c>
      <c r="K28">
        <v>0</v>
      </c>
      <c r="L28">
        <v>0</v>
      </c>
      <c r="M28">
        <f t="shared" si="9"/>
        <v>0</v>
      </c>
      <c r="N28">
        <v>0</v>
      </c>
      <c r="O28">
        <v>0</v>
      </c>
      <c r="P28">
        <f t="shared" si="10"/>
        <v>0</v>
      </c>
      <c r="Q28">
        <v>0</v>
      </c>
      <c r="R28">
        <v>0</v>
      </c>
      <c r="S28">
        <f t="shared" si="11"/>
        <v>0</v>
      </c>
    </row>
    <row r="29" spans="1:19" x14ac:dyDescent="0.25">
      <c r="A29" t="s">
        <v>33</v>
      </c>
      <c r="B29">
        <v>0</v>
      </c>
      <c r="C29">
        <v>19</v>
      </c>
      <c r="D29">
        <f t="shared" si="6"/>
        <v>19</v>
      </c>
      <c r="E29">
        <v>0</v>
      </c>
      <c r="F29">
        <v>19</v>
      </c>
      <c r="G29">
        <f t="shared" si="7"/>
        <v>19</v>
      </c>
      <c r="H29">
        <v>0</v>
      </c>
      <c r="I29">
        <v>0</v>
      </c>
      <c r="J29">
        <f t="shared" si="8"/>
        <v>0</v>
      </c>
      <c r="K29">
        <v>0</v>
      </c>
      <c r="L29">
        <v>0</v>
      </c>
      <c r="M29">
        <f t="shared" si="9"/>
        <v>0</v>
      </c>
      <c r="N29">
        <v>0</v>
      </c>
      <c r="O29">
        <v>0</v>
      </c>
      <c r="P29">
        <f t="shared" si="10"/>
        <v>0</v>
      </c>
      <c r="Q29">
        <v>0</v>
      </c>
      <c r="R29">
        <v>0</v>
      </c>
      <c r="S29">
        <f t="shared" si="11"/>
        <v>0</v>
      </c>
    </row>
    <row r="30" spans="1:19" x14ac:dyDescent="0.25">
      <c r="A30" t="s">
        <v>34</v>
      </c>
      <c r="B30">
        <v>0</v>
      </c>
      <c r="C30">
        <v>17</v>
      </c>
      <c r="D30">
        <f t="shared" si="6"/>
        <v>17</v>
      </c>
      <c r="E30">
        <v>0</v>
      </c>
      <c r="F30">
        <v>17</v>
      </c>
      <c r="G30">
        <f t="shared" si="7"/>
        <v>17</v>
      </c>
      <c r="H30">
        <v>0</v>
      </c>
      <c r="I30">
        <v>0</v>
      </c>
      <c r="J30">
        <f t="shared" si="8"/>
        <v>0</v>
      </c>
      <c r="K30">
        <v>0</v>
      </c>
      <c r="L30">
        <v>0</v>
      </c>
      <c r="M30">
        <f t="shared" si="9"/>
        <v>0</v>
      </c>
      <c r="N30">
        <v>0</v>
      </c>
      <c r="O30">
        <v>0</v>
      </c>
      <c r="P30">
        <f t="shared" si="10"/>
        <v>0</v>
      </c>
      <c r="Q30">
        <v>0</v>
      </c>
      <c r="R30">
        <v>0</v>
      </c>
      <c r="S30">
        <f t="shared" si="11"/>
        <v>0</v>
      </c>
    </row>
    <row r="31" spans="1:19" x14ac:dyDescent="0.25">
      <c r="A31" t="s">
        <v>35</v>
      </c>
      <c r="B31">
        <v>4</v>
      </c>
      <c r="C31">
        <v>22</v>
      </c>
      <c r="D31">
        <f t="shared" si="6"/>
        <v>26</v>
      </c>
      <c r="E31">
        <v>4</v>
      </c>
      <c r="F31">
        <v>22</v>
      </c>
      <c r="G31">
        <f t="shared" si="7"/>
        <v>26</v>
      </c>
      <c r="H31">
        <v>0</v>
      </c>
      <c r="I31">
        <v>0</v>
      </c>
      <c r="J31">
        <f t="shared" si="8"/>
        <v>0</v>
      </c>
      <c r="K31">
        <v>0</v>
      </c>
      <c r="L31">
        <v>0</v>
      </c>
      <c r="M31">
        <f t="shared" si="9"/>
        <v>0</v>
      </c>
      <c r="N31">
        <v>0</v>
      </c>
      <c r="O31">
        <v>0</v>
      </c>
      <c r="P31">
        <f t="shared" si="10"/>
        <v>0</v>
      </c>
      <c r="Q31">
        <v>0</v>
      </c>
      <c r="R31">
        <v>0</v>
      </c>
      <c r="S31">
        <f t="shared" si="11"/>
        <v>0</v>
      </c>
    </row>
    <row r="32" spans="1:19" x14ac:dyDescent="0.25">
      <c r="A32" t="s">
        <v>36</v>
      </c>
      <c r="B32">
        <v>3</v>
      </c>
      <c r="C32">
        <v>11</v>
      </c>
      <c r="D32">
        <f t="shared" si="6"/>
        <v>14</v>
      </c>
      <c r="E32">
        <v>2</v>
      </c>
      <c r="F32">
        <v>8</v>
      </c>
      <c r="G32">
        <f t="shared" si="7"/>
        <v>10</v>
      </c>
      <c r="H32">
        <v>0</v>
      </c>
      <c r="I32">
        <v>2</v>
      </c>
      <c r="J32">
        <f t="shared" si="8"/>
        <v>2</v>
      </c>
      <c r="K32">
        <v>1</v>
      </c>
      <c r="L32">
        <v>0</v>
      </c>
      <c r="M32">
        <f t="shared" si="9"/>
        <v>1</v>
      </c>
      <c r="N32">
        <v>0</v>
      </c>
      <c r="O32">
        <v>1</v>
      </c>
      <c r="P32">
        <f t="shared" si="10"/>
        <v>1</v>
      </c>
      <c r="Q32">
        <v>0</v>
      </c>
      <c r="R32">
        <v>0</v>
      </c>
      <c r="S32">
        <f t="shared" si="11"/>
        <v>0</v>
      </c>
    </row>
    <row r="33" spans="1:19" x14ac:dyDescent="0.25">
      <c r="A33" t="s">
        <v>37</v>
      </c>
      <c r="B33">
        <v>4</v>
      </c>
      <c r="C33">
        <v>7</v>
      </c>
      <c r="D33">
        <f t="shared" si="6"/>
        <v>11</v>
      </c>
      <c r="E33">
        <v>4</v>
      </c>
      <c r="F33">
        <v>7</v>
      </c>
      <c r="G33">
        <f t="shared" si="7"/>
        <v>11</v>
      </c>
      <c r="H33">
        <v>0</v>
      </c>
      <c r="I33">
        <v>0</v>
      </c>
      <c r="J33">
        <f t="shared" si="8"/>
        <v>0</v>
      </c>
      <c r="K33">
        <v>0</v>
      </c>
      <c r="L33">
        <v>0</v>
      </c>
      <c r="M33">
        <f t="shared" si="9"/>
        <v>0</v>
      </c>
      <c r="N33">
        <v>0</v>
      </c>
      <c r="O33">
        <v>0</v>
      </c>
      <c r="P33">
        <f t="shared" si="10"/>
        <v>0</v>
      </c>
      <c r="Q33">
        <v>0</v>
      </c>
      <c r="R33">
        <v>0</v>
      </c>
      <c r="S33">
        <f t="shared" si="11"/>
        <v>0</v>
      </c>
    </row>
    <row r="34" spans="1:19" x14ac:dyDescent="0.25">
      <c r="A34" t="s">
        <v>38</v>
      </c>
      <c r="B34">
        <v>24</v>
      </c>
      <c r="C34">
        <v>40</v>
      </c>
      <c r="D34">
        <f t="shared" si="6"/>
        <v>64</v>
      </c>
      <c r="E34">
        <v>24</v>
      </c>
      <c r="F34">
        <v>39</v>
      </c>
      <c r="G34">
        <f t="shared" si="7"/>
        <v>63</v>
      </c>
      <c r="H34">
        <v>0</v>
      </c>
      <c r="I34">
        <v>1</v>
      </c>
      <c r="J34">
        <f t="shared" si="8"/>
        <v>1</v>
      </c>
      <c r="K34">
        <v>0</v>
      </c>
      <c r="L34">
        <v>0</v>
      </c>
      <c r="M34">
        <f t="shared" si="9"/>
        <v>0</v>
      </c>
      <c r="N34">
        <v>0</v>
      </c>
      <c r="O34">
        <v>0</v>
      </c>
      <c r="P34">
        <f t="shared" si="10"/>
        <v>0</v>
      </c>
      <c r="Q34">
        <v>0</v>
      </c>
      <c r="R34">
        <v>0</v>
      </c>
      <c r="S34">
        <f t="shared" si="11"/>
        <v>0</v>
      </c>
    </row>
    <row r="35" spans="1:19" x14ac:dyDescent="0.25">
      <c r="A35" t="s">
        <v>39</v>
      </c>
      <c r="B35">
        <v>0</v>
      </c>
      <c r="C35">
        <v>1</v>
      </c>
      <c r="D35">
        <f t="shared" si="6"/>
        <v>1</v>
      </c>
      <c r="E35">
        <v>0</v>
      </c>
      <c r="F35">
        <v>1</v>
      </c>
      <c r="G35">
        <f t="shared" si="7"/>
        <v>1</v>
      </c>
      <c r="H35">
        <v>0</v>
      </c>
      <c r="I35">
        <v>0</v>
      </c>
      <c r="J35">
        <f t="shared" si="8"/>
        <v>0</v>
      </c>
      <c r="K35">
        <v>0</v>
      </c>
      <c r="L35">
        <v>0</v>
      </c>
      <c r="M35">
        <f t="shared" si="9"/>
        <v>0</v>
      </c>
      <c r="N35">
        <v>0</v>
      </c>
      <c r="O35">
        <v>0</v>
      </c>
      <c r="P35">
        <f t="shared" si="10"/>
        <v>0</v>
      </c>
      <c r="Q35">
        <v>0</v>
      </c>
      <c r="R35">
        <v>0</v>
      </c>
      <c r="S35">
        <f t="shared" si="11"/>
        <v>0</v>
      </c>
    </row>
    <row r="36" spans="1:19" x14ac:dyDescent="0.25">
      <c r="A36" t="s">
        <v>40</v>
      </c>
      <c r="B36">
        <v>0</v>
      </c>
      <c r="C36">
        <v>15</v>
      </c>
      <c r="D36">
        <f t="shared" si="6"/>
        <v>15</v>
      </c>
      <c r="E36">
        <v>0</v>
      </c>
      <c r="F36">
        <v>15</v>
      </c>
      <c r="G36">
        <f t="shared" si="7"/>
        <v>15</v>
      </c>
      <c r="H36">
        <v>0</v>
      </c>
      <c r="I36">
        <v>0</v>
      </c>
      <c r="J36">
        <f t="shared" si="8"/>
        <v>0</v>
      </c>
      <c r="K36">
        <v>0</v>
      </c>
      <c r="L36">
        <v>0</v>
      </c>
      <c r="M36">
        <f t="shared" si="9"/>
        <v>0</v>
      </c>
      <c r="N36">
        <v>0</v>
      </c>
      <c r="O36">
        <v>0</v>
      </c>
      <c r="P36">
        <f t="shared" si="10"/>
        <v>0</v>
      </c>
      <c r="Q36">
        <v>0</v>
      </c>
      <c r="R36">
        <v>0</v>
      </c>
      <c r="S36">
        <f t="shared" si="11"/>
        <v>0</v>
      </c>
    </row>
    <row r="37" spans="1:19" x14ac:dyDescent="0.25">
      <c r="A37" t="s">
        <v>41</v>
      </c>
      <c r="B37">
        <v>102</v>
      </c>
      <c r="C37">
        <v>93</v>
      </c>
      <c r="D37">
        <f t="shared" si="6"/>
        <v>195</v>
      </c>
      <c r="E37">
        <v>100</v>
      </c>
      <c r="F37">
        <v>91</v>
      </c>
      <c r="G37">
        <f t="shared" si="7"/>
        <v>191</v>
      </c>
      <c r="H37">
        <v>2</v>
      </c>
      <c r="I37">
        <v>1</v>
      </c>
      <c r="J37">
        <f t="shared" si="8"/>
        <v>3</v>
      </c>
      <c r="K37">
        <v>0</v>
      </c>
      <c r="L37">
        <v>1</v>
      </c>
      <c r="M37">
        <f t="shared" si="9"/>
        <v>1</v>
      </c>
      <c r="N37">
        <v>0</v>
      </c>
      <c r="O37">
        <v>0</v>
      </c>
      <c r="P37">
        <f t="shared" si="10"/>
        <v>0</v>
      </c>
      <c r="Q37">
        <v>0</v>
      </c>
      <c r="R37">
        <v>0</v>
      </c>
      <c r="S37">
        <f t="shared" si="11"/>
        <v>0</v>
      </c>
    </row>
    <row r="38" spans="1:19" x14ac:dyDescent="0.25">
      <c r="A38" t="s">
        <v>42</v>
      </c>
      <c r="B38">
        <v>12</v>
      </c>
      <c r="C38">
        <v>1</v>
      </c>
      <c r="D38">
        <f t="shared" si="6"/>
        <v>13</v>
      </c>
      <c r="E38">
        <v>12</v>
      </c>
      <c r="F38">
        <v>1</v>
      </c>
      <c r="G38">
        <f t="shared" si="7"/>
        <v>13</v>
      </c>
      <c r="H38">
        <v>0</v>
      </c>
      <c r="I38">
        <v>0</v>
      </c>
      <c r="J38">
        <f t="shared" si="8"/>
        <v>0</v>
      </c>
      <c r="K38">
        <v>0</v>
      </c>
      <c r="L38">
        <v>0</v>
      </c>
      <c r="M38">
        <f t="shared" si="9"/>
        <v>0</v>
      </c>
      <c r="N38">
        <v>0</v>
      </c>
      <c r="O38">
        <v>0</v>
      </c>
      <c r="P38">
        <f t="shared" si="10"/>
        <v>0</v>
      </c>
      <c r="Q38">
        <v>0</v>
      </c>
      <c r="R38">
        <v>0</v>
      </c>
      <c r="S38">
        <f t="shared" si="11"/>
        <v>0</v>
      </c>
    </row>
    <row r="39" spans="1:19" x14ac:dyDescent="0.25">
      <c r="A39" t="s">
        <v>43</v>
      </c>
      <c r="B39">
        <v>0</v>
      </c>
      <c r="C39">
        <v>0</v>
      </c>
      <c r="D39">
        <f t="shared" si="6"/>
        <v>0</v>
      </c>
      <c r="E39">
        <v>0</v>
      </c>
      <c r="F39">
        <v>0</v>
      </c>
      <c r="G39">
        <f t="shared" si="7"/>
        <v>0</v>
      </c>
      <c r="H39">
        <v>0</v>
      </c>
      <c r="I39">
        <v>0</v>
      </c>
      <c r="J39">
        <f t="shared" si="8"/>
        <v>0</v>
      </c>
      <c r="K39">
        <v>0</v>
      </c>
      <c r="L39">
        <v>0</v>
      </c>
      <c r="M39">
        <f t="shared" si="9"/>
        <v>0</v>
      </c>
      <c r="N39">
        <v>0</v>
      </c>
      <c r="O39">
        <v>0</v>
      </c>
      <c r="P39">
        <f t="shared" si="10"/>
        <v>0</v>
      </c>
      <c r="Q39">
        <v>0</v>
      </c>
      <c r="R39">
        <v>0</v>
      </c>
      <c r="S39">
        <f t="shared" si="11"/>
        <v>0</v>
      </c>
    </row>
    <row r="40" spans="1:19" x14ac:dyDescent="0.25">
      <c r="A40" t="s">
        <v>44</v>
      </c>
      <c r="B40">
        <v>0</v>
      </c>
      <c r="C40">
        <v>4</v>
      </c>
      <c r="D40">
        <f t="shared" si="6"/>
        <v>4</v>
      </c>
      <c r="E40">
        <v>0</v>
      </c>
      <c r="F40">
        <v>4</v>
      </c>
      <c r="G40">
        <f t="shared" si="7"/>
        <v>4</v>
      </c>
      <c r="H40">
        <v>0</v>
      </c>
      <c r="I40">
        <v>0</v>
      </c>
      <c r="J40">
        <f t="shared" si="8"/>
        <v>0</v>
      </c>
      <c r="K40">
        <v>0</v>
      </c>
      <c r="L40">
        <v>0</v>
      </c>
      <c r="M40">
        <f t="shared" si="9"/>
        <v>0</v>
      </c>
      <c r="N40">
        <v>0</v>
      </c>
      <c r="O40">
        <v>0</v>
      </c>
      <c r="P40">
        <f t="shared" si="10"/>
        <v>0</v>
      </c>
      <c r="Q40">
        <v>0</v>
      </c>
      <c r="R40">
        <v>0</v>
      </c>
      <c r="S40">
        <f t="shared" si="11"/>
        <v>0</v>
      </c>
    </row>
    <row r="41" spans="1:19" x14ac:dyDescent="0.25">
      <c r="A41" t="s">
        <v>45</v>
      </c>
      <c r="B41">
        <v>0</v>
      </c>
      <c r="C41">
        <v>1</v>
      </c>
      <c r="D41">
        <f t="shared" si="6"/>
        <v>1</v>
      </c>
      <c r="E41">
        <v>0</v>
      </c>
      <c r="F41">
        <v>1</v>
      </c>
      <c r="G41">
        <f t="shared" si="7"/>
        <v>1</v>
      </c>
      <c r="H41">
        <v>0</v>
      </c>
      <c r="I41">
        <v>0</v>
      </c>
      <c r="J41">
        <f t="shared" si="8"/>
        <v>0</v>
      </c>
      <c r="K41">
        <v>0</v>
      </c>
      <c r="L41">
        <v>0</v>
      </c>
      <c r="M41">
        <f t="shared" si="9"/>
        <v>0</v>
      </c>
      <c r="N41">
        <v>0</v>
      </c>
      <c r="O41">
        <v>0</v>
      </c>
      <c r="P41">
        <f t="shared" si="10"/>
        <v>0</v>
      </c>
      <c r="Q41">
        <v>0</v>
      </c>
      <c r="R41">
        <v>0</v>
      </c>
      <c r="S41">
        <f t="shared" si="11"/>
        <v>0</v>
      </c>
    </row>
    <row r="43" spans="1:19" x14ac:dyDescent="0.25">
      <c r="A43" s="8" t="s">
        <v>46</v>
      </c>
      <c r="B43" s="8" t="s">
        <v>46</v>
      </c>
      <c r="C43" s="8" t="s">
        <v>46</v>
      </c>
      <c r="D43" s="8" t="s">
        <v>46</v>
      </c>
      <c r="E43" s="8" t="s">
        <v>46</v>
      </c>
      <c r="F43" s="8" t="s">
        <v>46</v>
      </c>
      <c r="G43" s="8" t="s">
        <v>46</v>
      </c>
      <c r="H43" s="8" t="s">
        <v>46</v>
      </c>
      <c r="I43" s="8" t="s">
        <v>46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 t="s">
        <v>46</v>
      </c>
      <c r="R43" s="8" t="s">
        <v>46</v>
      </c>
      <c r="S43" s="8" t="s">
        <v>46</v>
      </c>
    </row>
    <row r="44" spans="1:19" x14ac:dyDescent="0.25">
      <c r="A44" t="s">
        <v>47</v>
      </c>
      <c r="B44">
        <v>0</v>
      </c>
      <c r="C44">
        <v>3</v>
      </c>
      <c r="D44">
        <f t="shared" ref="D44:D59" si="12">B44+C44</f>
        <v>3</v>
      </c>
      <c r="E44">
        <v>0</v>
      </c>
      <c r="F44">
        <v>3</v>
      </c>
      <c r="G44">
        <f t="shared" ref="G44:G59" si="13">E44+F44</f>
        <v>3</v>
      </c>
      <c r="H44">
        <v>0</v>
      </c>
      <c r="I44">
        <v>0</v>
      </c>
      <c r="J44">
        <f t="shared" ref="J44:J59" si="14">H44+I44</f>
        <v>0</v>
      </c>
      <c r="K44">
        <v>0</v>
      </c>
      <c r="L44">
        <v>0</v>
      </c>
      <c r="M44">
        <f t="shared" ref="M44:M59" si="15">K44+L44</f>
        <v>0</v>
      </c>
      <c r="N44">
        <v>0</v>
      </c>
      <c r="O44">
        <v>0</v>
      </c>
      <c r="P44">
        <f t="shared" ref="P44:P59" si="16">N44+O44</f>
        <v>0</v>
      </c>
      <c r="Q44">
        <v>0</v>
      </c>
      <c r="R44">
        <v>0</v>
      </c>
      <c r="S44">
        <f t="shared" ref="S44:S59" si="17">Q44+R44</f>
        <v>0</v>
      </c>
    </row>
    <row r="45" spans="1:19" x14ac:dyDescent="0.25">
      <c r="A45" t="s">
        <v>48</v>
      </c>
      <c r="B45">
        <v>0</v>
      </c>
      <c r="C45">
        <v>0</v>
      </c>
      <c r="D45">
        <f t="shared" si="12"/>
        <v>0</v>
      </c>
      <c r="E45">
        <v>0</v>
      </c>
      <c r="F45">
        <v>0</v>
      </c>
      <c r="G45">
        <f t="shared" si="13"/>
        <v>0</v>
      </c>
      <c r="H45">
        <v>0</v>
      </c>
      <c r="I45">
        <v>0</v>
      </c>
      <c r="J45">
        <f t="shared" si="14"/>
        <v>0</v>
      </c>
      <c r="K45">
        <v>0</v>
      </c>
      <c r="L45">
        <v>0</v>
      </c>
      <c r="M45">
        <f t="shared" si="15"/>
        <v>0</v>
      </c>
      <c r="N45">
        <v>0</v>
      </c>
      <c r="O45">
        <v>0</v>
      </c>
      <c r="P45">
        <f t="shared" si="16"/>
        <v>0</v>
      </c>
      <c r="Q45">
        <v>0</v>
      </c>
      <c r="R45">
        <v>0</v>
      </c>
      <c r="S45">
        <f t="shared" si="17"/>
        <v>0</v>
      </c>
    </row>
    <row r="46" spans="1:19" x14ac:dyDescent="0.25">
      <c r="A46" t="s">
        <v>49</v>
      </c>
      <c r="B46">
        <v>0</v>
      </c>
      <c r="C46">
        <v>0</v>
      </c>
      <c r="D46">
        <f t="shared" si="12"/>
        <v>0</v>
      </c>
      <c r="E46">
        <v>0</v>
      </c>
      <c r="F46">
        <v>0</v>
      </c>
      <c r="G46">
        <f t="shared" si="13"/>
        <v>0</v>
      </c>
      <c r="H46">
        <v>0</v>
      </c>
      <c r="I46">
        <v>0</v>
      </c>
      <c r="J46">
        <f t="shared" si="14"/>
        <v>0</v>
      </c>
      <c r="K46">
        <v>0</v>
      </c>
      <c r="L46">
        <v>0</v>
      </c>
      <c r="M46">
        <f t="shared" si="15"/>
        <v>0</v>
      </c>
      <c r="N46">
        <v>0</v>
      </c>
      <c r="O46">
        <v>0</v>
      </c>
      <c r="P46">
        <f t="shared" si="16"/>
        <v>0</v>
      </c>
      <c r="Q46">
        <v>0</v>
      </c>
      <c r="R46">
        <v>0</v>
      </c>
      <c r="S46">
        <f t="shared" si="17"/>
        <v>0</v>
      </c>
    </row>
    <row r="47" spans="1:19" x14ac:dyDescent="0.25">
      <c r="A47" t="s">
        <v>50</v>
      </c>
      <c r="B47">
        <v>0</v>
      </c>
      <c r="C47">
        <v>4</v>
      </c>
      <c r="D47">
        <f t="shared" si="12"/>
        <v>4</v>
      </c>
      <c r="E47">
        <v>0</v>
      </c>
      <c r="F47">
        <v>4</v>
      </c>
      <c r="G47">
        <f t="shared" si="13"/>
        <v>4</v>
      </c>
      <c r="H47">
        <v>0</v>
      </c>
      <c r="I47">
        <v>0</v>
      </c>
      <c r="J47">
        <f t="shared" si="14"/>
        <v>0</v>
      </c>
      <c r="K47">
        <v>0</v>
      </c>
      <c r="L47">
        <v>0</v>
      </c>
      <c r="M47">
        <f t="shared" si="15"/>
        <v>0</v>
      </c>
      <c r="N47">
        <v>0</v>
      </c>
      <c r="O47">
        <v>0</v>
      </c>
      <c r="P47">
        <f t="shared" si="16"/>
        <v>0</v>
      </c>
      <c r="Q47">
        <v>0</v>
      </c>
      <c r="R47">
        <v>0</v>
      </c>
      <c r="S47">
        <f t="shared" si="17"/>
        <v>0</v>
      </c>
    </row>
    <row r="48" spans="1:19" x14ac:dyDescent="0.25">
      <c r="A48" t="s">
        <v>51</v>
      </c>
      <c r="B48">
        <v>0</v>
      </c>
      <c r="C48">
        <v>19</v>
      </c>
      <c r="D48">
        <f t="shared" si="12"/>
        <v>19</v>
      </c>
      <c r="E48">
        <v>0</v>
      </c>
      <c r="F48">
        <v>12</v>
      </c>
      <c r="G48">
        <f t="shared" si="13"/>
        <v>12</v>
      </c>
      <c r="H48">
        <v>0</v>
      </c>
      <c r="I48">
        <v>4</v>
      </c>
      <c r="J48">
        <f t="shared" si="14"/>
        <v>4</v>
      </c>
      <c r="K48">
        <v>0</v>
      </c>
      <c r="L48">
        <v>2</v>
      </c>
      <c r="M48">
        <f t="shared" si="15"/>
        <v>2</v>
      </c>
      <c r="N48">
        <v>0</v>
      </c>
      <c r="O48">
        <v>1</v>
      </c>
      <c r="P48">
        <f t="shared" si="16"/>
        <v>1</v>
      </c>
      <c r="Q48">
        <v>0</v>
      </c>
      <c r="R48">
        <v>0</v>
      </c>
      <c r="S48">
        <f t="shared" si="17"/>
        <v>0</v>
      </c>
    </row>
    <row r="49" spans="1:19" x14ac:dyDescent="0.25">
      <c r="A49" t="s">
        <v>52</v>
      </c>
      <c r="B49">
        <v>0</v>
      </c>
      <c r="C49">
        <v>2</v>
      </c>
      <c r="D49">
        <f t="shared" si="12"/>
        <v>2</v>
      </c>
      <c r="E49">
        <v>0</v>
      </c>
      <c r="F49">
        <v>2</v>
      </c>
      <c r="G49">
        <f t="shared" si="13"/>
        <v>2</v>
      </c>
      <c r="H49">
        <v>0</v>
      </c>
      <c r="I49">
        <v>0</v>
      </c>
      <c r="J49">
        <f t="shared" si="14"/>
        <v>0</v>
      </c>
      <c r="K49">
        <v>0</v>
      </c>
      <c r="L49">
        <v>0</v>
      </c>
      <c r="M49">
        <f t="shared" si="15"/>
        <v>0</v>
      </c>
      <c r="N49">
        <v>0</v>
      </c>
      <c r="O49">
        <v>0</v>
      </c>
      <c r="P49">
        <f t="shared" si="16"/>
        <v>0</v>
      </c>
      <c r="Q49">
        <v>0</v>
      </c>
      <c r="R49">
        <v>0</v>
      </c>
      <c r="S49">
        <f t="shared" si="17"/>
        <v>0</v>
      </c>
    </row>
    <row r="50" spans="1:19" x14ac:dyDescent="0.25">
      <c r="A50" t="s">
        <v>53</v>
      </c>
      <c r="B50">
        <v>1</v>
      </c>
      <c r="C50">
        <v>12</v>
      </c>
      <c r="D50">
        <f t="shared" si="12"/>
        <v>13</v>
      </c>
      <c r="E50">
        <v>1</v>
      </c>
      <c r="F50">
        <v>12</v>
      </c>
      <c r="G50">
        <f t="shared" si="13"/>
        <v>13</v>
      </c>
      <c r="H50">
        <v>0</v>
      </c>
      <c r="I50">
        <v>0</v>
      </c>
      <c r="J50">
        <f t="shared" si="14"/>
        <v>0</v>
      </c>
      <c r="K50">
        <v>0</v>
      </c>
      <c r="L50">
        <v>0</v>
      </c>
      <c r="M50">
        <f t="shared" si="15"/>
        <v>0</v>
      </c>
      <c r="N50">
        <v>0</v>
      </c>
      <c r="O50">
        <v>0</v>
      </c>
      <c r="P50">
        <f t="shared" si="16"/>
        <v>0</v>
      </c>
      <c r="Q50">
        <v>0</v>
      </c>
      <c r="R50">
        <v>0</v>
      </c>
      <c r="S50">
        <f t="shared" si="17"/>
        <v>0</v>
      </c>
    </row>
    <row r="51" spans="1:19" x14ac:dyDescent="0.25">
      <c r="A51" t="s">
        <v>54</v>
      </c>
      <c r="B51">
        <v>1</v>
      </c>
      <c r="C51">
        <v>6</v>
      </c>
      <c r="D51">
        <f t="shared" si="12"/>
        <v>7</v>
      </c>
      <c r="E51">
        <v>1</v>
      </c>
      <c r="F51">
        <v>6</v>
      </c>
      <c r="G51">
        <f t="shared" si="13"/>
        <v>7</v>
      </c>
      <c r="H51">
        <v>0</v>
      </c>
      <c r="I51">
        <v>0</v>
      </c>
      <c r="J51">
        <f t="shared" si="14"/>
        <v>0</v>
      </c>
      <c r="K51">
        <v>0</v>
      </c>
      <c r="L51">
        <v>0</v>
      </c>
      <c r="M51">
        <f t="shared" si="15"/>
        <v>0</v>
      </c>
      <c r="N51">
        <v>0</v>
      </c>
      <c r="O51">
        <v>0</v>
      </c>
      <c r="P51">
        <f t="shared" si="16"/>
        <v>0</v>
      </c>
      <c r="Q51">
        <v>0</v>
      </c>
      <c r="R51">
        <v>0</v>
      </c>
      <c r="S51">
        <f t="shared" si="17"/>
        <v>0</v>
      </c>
    </row>
    <row r="52" spans="1:19" x14ac:dyDescent="0.25">
      <c r="A52" t="s">
        <v>55</v>
      </c>
      <c r="B52">
        <v>18</v>
      </c>
      <c r="C52">
        <v>253</v>
      </c>
      <c r="D52">
        <f t="shared" si="12"/>
        <v>271</v>
      </c>
      <c r="E52">
        <v>18</v>
      </c>
      <c r="F52">
        <v>253</v>
      </c>
      <c r="G52">
        <f t="shared" si="13"/>
        <v>271</v>
      </c>
      <c r="H52">
        <v>0</v>
      </c>
      <c r="I52">
        <v>0</v>
      </c>
      <c r="J52">
        <f t="shared" si="14"/>
        <v>0</v>
      </c>
      <c r="K52">
        <v>0</v>
      </c>
      <c r="L52">
        <v>0</v>
      </c>
      <c r="M52">
        <f t="shared" si="15"/>
        <v>0</v>
      </c>
      <c r="N52">
        <v>0</v>
      </c>
      <c r="O52">
        <v>0</v>
      </c>
      <c r="P52">
        <f t="shared" si="16"/>
        <v>0</v>
      </c>
      <c r="Q52">
        <v>0</v>
      </c>
      <c r="R52">
        <v>0</v>
      </c>
      <c r="S52">
        <f t="shared" si="17"/>
        <v>0</v>
      </c>
    </row>
    <row r="53" spans="1:19" x14ac:dyDescent="0.25">
      <c r="A53" t="s">
        <v>56</v>
      </c>
      <c r="B53">
        <v>0</v>
      </c>
      <c r="C53">
        <v>0</v>
      </c>
      <c r="D53">
        <f t="shared" si="12"/>
        <v>0</v>
      </c>
      <c r="E53">
        <v>0</v>
      </c>
      <c r="F53">
        <v>0</v>
      </c>
      <c r="G53">
        <f t="shared" si="13"/>
        <v>0</v>
      </c>
      <c r="H53">
        <v>0</v>
      </c>
      <c r="I53">
        <v>0</v>
      </c>
      <c r="J53">
        <f t="shared" si="14"/>
        <v>0</v>
      </c>
      <c r="K53">
        <v>0</v>
      </c>
      <c r="L53">
        <v>0</v>
      </c>
      <c r="M53">
        <f t="shared" si="15"/>
        <v>0</v>
      </c>
      <c r="N53">
        <v>0</v>
      </c>
      <c r="O53">
        <v>0</v>
      </c>
      <c r="P53">
        <f t="shared" si="16"/>
        <v>0</v>
      </c>
      <c r="Q53">
        <v>0</v>
      </c>
      <c r="R53">
        <v>0</v>
      </c>
      <c r="S53">
        <f t="shared" si="17"/>
        <v>0</v>
      </c>
    </row>
    <row r="54" spans="1:19" x14ac:dyDescent="0.25">
      <c r="A54" t="s">
        <v>57</v>
      </c>
      <c r="B54">
        <v>7</v>
      </c>
      <c r="C54">
        <v>6</v>
      </c>
      <c r="D54">
        <f t="shared" si="12"/>
        <v>13</v>
      </c>
      <c r="E54">
        <v>7</v>
      </c>
      <c r="F54">
        <v>6</v>
      </c>
      <c r="G54">
        <f t="shared" si="13"/>
        <v>13</v>
      </c>
      <c r="H54">
        <v>0</v>
      </c>
      <c r="I54">
        <v>0</v>
      </c>
      <c r="J54">
        <f t="shared" si="14"/>
        <v>0</v>
      </c>
      <c r="K54">
        <v>0</v>
      </c>
      <c r="L54">
        <v>0</v>
      </c>
      <c r="M54">
        <f t="shared" si="15"/>
        <v>0</v>
      </c>
      <c r="N54">
        <v>0</v>
      </c>
      <c r="O54">
        <v>0</v>
      </c>
      <c r="P54">
        <f t="shared" si="16"/>
        <v>0</v>
      </c>
      <c r="Q54">
        <v>0</v>
      </c>
      <c r="R54">
        <v>0</v>
      </c>
      <c r="S54">
        <f t="shared" si="17"/>
        <v>0</v>
      </c>
    </row>
    <row r="55" spans="1:19" x14ac:dyDescent="0.25">
      <c r="A55" t="s">
        <v>58</v>
      </c>
      <c r="B55">
        <v>0</v>
      </c>
      <c r="C55">
        <v>0</v>
      </c>
      <c r="D55">
        <f t="shared" si="12"/>
        <v>0</v>
      </c>
      <c r="E55">
        <v>0</v>
      </c>
      <c r="F55">
        <v>0</v>
      </c>
      <c r="G55">
        <f t="shared" si="13"/>
        <v>0</v>
      </c>
      <c r="H55">
        <v>0</v>
      </c>
      <c r="I55">
        <v>0</v>
      </c>
      <c r="J55">
        <f t="shared" si="14"/>
        <v>0</v>
      </c>
      <c r="K55">
        <v>0</v>
      </c>
      <c r="L55">
        <v>0</v>
      </c>
      <c r="M55">
        <f t="shared" si="15"/>
        <v>0</v>
      </c>
      <c r="N55">
        <v>0</v>
      </c>
      <c r="O55">
        <v>0</v>
      </c>
      <c r="P55">
        <f t="shared" si="16"/>
        <v>0</v>
      </c>
      <c r="Q55">
        <v>0</v>
      </c>
      <c r="R55">
        <v>0</v>
      </c>
      <c r="S55">
        <f t="shared" si="17"/>
        <v>0</v>
      </c>
    </row>
    <row r="56" spans="1:19" x14ac:dyDescent="0.25">
      <c r="A56" t="s">
        <v>59</v>
      </c>
      <c r="B56">
        <v>0</v>
      </c>
      <c r="C56">
        <v>16</v>
      </c>
      <c r="D56">
        <f t="shared" si="12"/>
        <v>16</v>
      </c>
      <c r="E56">
        <v>0</v>
      </c>
      <c r="F56">
        <v>16</v>
      </c>
      <c r="G56">
        <f t="shared" si="13"/>
        <v>16</v>
      </c>
      <c r="H56">
        <v>0</v>
      </c>
      <c r="I56">
        <v>0</v>
      </c>
      <c r="J56">
        <f t="shared" si="14"/>
        <v>0</v>
      </c>
      <c r="K56">
        <v>0</v>
      </c>
      <c r="L56">
        <v>0</v>
      </c>
      <c r="M56">
        <f t="shared" si="15"/>
        <v>0</v>
      </c>
      <c r="N56">
        <v>0</v>
      </c>
      <c r="O56">
        <v>0</v>
      </c>
      <c r="P56">
        <f t="shared" si="16"/>
        <v>0</v>
      </c>
      <c r="Q56">
        <v>0</v>
      </c>
      <c r="R56">
        <v>0</v>
      </c>
      <c r="S56">
        <f t="shared" si="17"/>
        <v>0</v>
      </c>
    </row>
    <row r="57" spans="1:19" x14ac:dyDescent="0.25">
      <c r="A57" t="s">
        <v>60</v>
      </c>
      <c r="B57">
        <v>0</v>
      </c>
      <c r="C57">
        <v>24</v>
      </c>
      <c r="D57">
        <f t="shared" si="12"/>
        <v>24</v>
      </c>
      <c r="E57">
        <v>0</v>
      </c>
      <c r="F57">
        <v>24</v>
      </c>
      <c r="G57">
        <f t="shared" si="13"/>
        <v>24</v>
      </c>
      <c r="H57">
        <v>0</v>
      </c>
      <c r="I57">
        <v>0</v>
      </c>
      <c r="J57">
        <f t="shared" si="14"/>
        <v>0</v>
      </c>
      <c r="K57">
        <v>0</v>
      </c>
      <c r="L57">
        <v>0</v>
      </c>
      <c r="M57">
        <f t="shared" si="15"/>
        <v>0</v>
      </c>
      <c r="N57">
        <v>0</v>
      </c>
      <c r="O57">
        <v>0</v>
      </c>
      <c r="P57">
        <f t="shared" si="16"/>
        <v>0</v>
      </c>
      <c r="Q57">
        <v>0</v>
      </c>
      <c r="R57">
        <v>0</v>
      </c>
      <c r="S57">
        <f t="shared" si="17"/>
        <v>0</v>
      </c>
    </row>
    <row r="58" spans="1:19" x14ac:dyDescent="0.25">
      <c r="A58" t="s">
        <v>61</v>
      </c>
      <c r="B58">
        <v>0</v>
      </c>
      <c r="C58">
        <v>4</v>
      </c>
      <c r="D58">
        <f t="shared" si="12"/>
        <v>4</v>
      </c>
      <c r="E58">
        <v>0</v>
      </c>
      <c r="F58">
        <v>4</v>
      </c>
      <c r="G58">
        <f t="shared" si="13"/>
        <v>4</v>
      </c>
      <c r="H58">
        <v>0</v>
      </c>
      <c r="I58">
        <v>0</v>
      </c>
      <c r="J58">
        <f t="shared" si="14"/>
        <v>0</v>
      </c>
      <c r="K58">
        <v>0</v>
      </c>
      <c r="L58">
        <v>0</v>
      </c>
      <c r="M58">
        <f t="shared" si="15"/>
        <v>0</v>
      </c>
      <c r="N58">
        <v>0</v>
      </c>
      <c r="O58">
        <v>0</v>
      </c>
      <c r="P58">
        <f t="shared" si="16"/>
        <v>0</v>
      </c>
      <c r="Q58">
        <v>0</v>
      </c>
      <c r="R58">
        <v>0</v>
      </c>
      <c r="S58">
        <f t="shared" si="17"/>
        <v>0</v>
      </c>
    </row>
    <row r="59" spans="1:19" x14ac:dyDescent="0.25">
      <c r="A59" t="s">
        <v>62</v>
      </c>
      <c r="B59">
        <v>0</v>
      </c>
      <c r="C59">
        <v>0</v>
      </c>
      <c r="D59">
        <f t="shared" si="12"/>
        <v>0</v>
      </c>
      <c r="E59">
        <v>0</v>
      </c>
      <c r="F59">
        <v>0</v>
      </c>
      <c r="G59">
        <f t="shared" si="13"/>
        <v>0</v>
      </c>
      <c r="H59">
        <v>0</v>
      </c>
      <c r="I59">
        <v>0</v>
      </c>
      <c r="J59">
        <f t="shared" si="14"/>
        <v>0</v>
      </c>
      <c r="K59">
        <v>0</v>
      </c>
      <c r="L59">
        <v>0</v>
      </c>
      <c r="M59">
        <f t="shared" si="15"/>
        <v>0</v>
      </c>
      <c r="N59">
        <v>0</v>
      </c>
      <c r="O59">
        <v>0</v>
      </c>
      <c r="P59">
        <f t="shared" si="16"/>
        <v>0</v>
      </c>
      <c r="Q59">
        <v>0</v>
      </c>
      <c r="R59">
        <v>0</v>
      </c>
      <c r="S59">
        <f t="shared" si="17"/>
        <v>0</v>
      </c>
    </row>
    <row r="61" spans="1:19" x14ac:dyDescent="0.25">
      <c r="A61" s="8" t="s">
        <v>63</v>
      </c>
      <c r="B61" s="8" t="s">
        <v>63</v>
      </c>
      <c r="C61" s="8" t="s">
        <v>63</v>
      </c>
      <c r="D61" s="8" t="s">
        <v>63</v>
      </c>
      <c r="E61" s="8" t="s">
        <v>63</v>
      </c>
      <c r="F61" s="8" t="s">
        <v>63</v>
      </c>
      <c r="G61" s="8" t="s">
        <v>63</v>
      </c>
      <c r="H61" s="8" t="s">
        <v>63</v>
      </c>
      <c r="I61" s="8" t="s">
        <v>63</v>
      </c>
      <c r="J61" s="8" t="s">
        <v>63</v>
      </c>
      <c r="K61" s="8" t="s">
        <v>63</v>
      </c>
      <c r="L61" s="8" t="s">
        <v>63</v>
      </c>
      <c r="M61" s="8" t="s">
        <v>63</v>
      </c>
      <c r="N61" s="8" t="s">
        <v>63</v>
      </c>
      <c r="O61" s="8" t="s">
        <v>63</v>
      </c>
      <c r="P61" s="8" t="s">
        <v>63</v>
      </c>
      <c r="Q61" s="8" t="s">
        <v>63</v>
      </c>
      <c r="R61" s="8" t="s">
        <v>63</v>
      </c>
      <c r="S61" s="8" t="s">
        <v>63</v>
      </c>
    </row>
    <row r="62" spans="1:19" x14ac:dyDescent="0.25">
      <c r="A62" t="s">
        <v>64</v>
      </c>
      <c r="B62">
        <v>1</v>
      </c>
      <c r="C62">
        <v>0</v>
      </c>
      <c r="D62">
        <f t="shared" ref="D62:D85" si="18">B62+C62</f>
        <v>1</v>
      </c>
      <c r="E62">
        <v>1</v>
      </c>
      <c r="F62">
        <v>0</v>
      </c>
      <c r="G62">
        <f t="shared" ref="G62:G85" si="19">E62+F62</f>
        <v>1</v>
      </c>
      <c r="H62">
        <v>0</v>
      </c>
      <c r="I62">
        <v>0</v>
      </c>
      <c r="J62">
        <f t="shared" ref="J62:J85" si="20">H62+I62</f>
        <v>0</v>
      </c>
      <c r="K62">
        <v>0</v>
      </c>
      <c r="L62">
        <v>0</v>
      </c>
      <c r="M62">
        <f t="shared" ref="M62:M85" si="21">K62+L62</f>
        <v>0</v>
      </c>
      <c r="N62">
        <v>0</v>
      </c>
      <c r="O62">
        <v>0</v>
      </c>
      <c r="P62">
        <f t="shared" ref="P62:P85" si="22">N62+O62</f>
        <v>0</v>
      </c>
      <c r="Q62">
        <v>0</v>
      </c>
      <c r="R62">
        <v>0</v>
      </c>
      <c r="S62">
        <f t="shared" ref="S62:S85" si="23">Q62+R62</f>
        <v>0</v>
      </c>
    </row>
    <row r="63" spans="1:19" x14ac:dyDescent="0.25">
      <c r="A63" t="s">
        <v>65</v>
      </c>
      <c r="B63">
        <v>0</v>
      </c>
      <c r="C63">
        <v>0</v>
      </c>
      <c r="D63">
        <f t="shared" si="18"/>
        <v>0</v>
      </c>
      <c r="E63">
        <v>0</v>
      </c>
      <c r="F63">
        <v>0</v>
      </c>
      <c r="G63">
        <f t="shared" si="19"/>
        <v>0</v>
      </c>
      <c r="H63">
        <v>0</v>
      </c>
      <c r="I63">
        <v>0</v>
      </c>
      <c r="J63">
        <f t="shared" si="20"/>
        <v>0</v>
      </c>
      <c r="K63">
        <v>0</v>
      </c>
      <c r="L63">
        <v>0</v>
      </c>
      <c r="M63">
        <f t="shared" si="21"/>
        <v>0</v>
      </c>
      <c r="N63">
        <v>0</v>
      </c>
      <c r="O63">
        <v>0</v>
      </c>
      <c r="P63">
        <f t="shared" si="22"/>
        <v>0</v>
      </c>
      <c r="Q63">
        <v>0</v>
      </c>
      <c r="R63">
        <v>0</v>
      </c>
      <c r="S63">
        <f t="shared" si="23"/>
        <v>0</v>
      </c>
    </row>
    <row r="64" spans="1:19" x14ac:dyDescent="0.25">
      <c r="A64" t="s">
        <v>66</v>
      </c>
      <c r="B64">
        <v>0</v>
      </c>
      <c r="C64">
        <v>0</v>
      </c>
      <c r="D64">
        <f t="shared" si="18"/>
        <v>0</v>
      </c>
      <c r="E64">
        <v>0</v>
      </c>
      <c r="F64">
        <v>0</v>
      </c>
      <c r="G64">
        <f t="shared" si="19"/>
        <v>0</v>
      </c>
      <c r="H64">
        <v>0</v>
      </c>
      <c r="I64">
        <v>0</v>
      </c>
      <c r="J64">
        <f t="shared" si="20"/>
        <v>0</v>
      </c>
      <c r="K64">
        <v>0</v>
      </c>
      <c r="L64">
        <v>0</v>
      </c>
      <c r="M64">
        <f t="shared" si="21"/>
        <v>0</v>
      </c>
      <c r="N64">
        <v>0</v>
      </c>
      <c r="O64">
        <v>0</v>
      </c>
      <c r="P64">
        <f t="shared" si="22"/>
        <v>0</v>
      </c>
      <c r="Q64">
        <v>0</v>
      </c>
      <c r="R64">
        <v>0</v>
      </c>
      <c r="S64">
        <f t="shared" si="23"/>
        <v>0</v>
      </c>
    </row>
    <row r="65" spans="1:19" x14ac:dyDescent="0.25">
      <c r="A65" t="s">
        <v>67</v>
      </c>
      <c r="B65">
        <v>0</v>
      </c>
      <c r="C65">
        <v>1</v>
      </c>
      <c r="D65">
        <f t="shared" si="18"/>
        <v>1</v>
      </c>
      <c r="E65">
        <v>0</v>
      </c>
      <c r="F65">
        <v>1</v>
      </c>
      <c r="G65">
        <f t="shared" si="19"/>
        <v>1</v>
      </c>
      <c r="H65">
        <v>0</v>
      </c>
      <c r="I65">
        <v>0</v>
      </c>
      <c r="J65">
        <f t="shared" si="20"/>
        <v>0</v>
      </c>
      <c r="K65">
        <v>0</v>
      </c>
      <c r="L65">
        <v>0</v>
      </c>
      <c r="M65">
        <f t="shared" si="21"/>
        <v>0</v>
      </c>
      <c r="N65">
        <v>0</v>
      </c>
      <c r="O65">
        <v>0</v>
      </c>
      <c r="P65">
        <f t="shared" si="22"/>
        <v>0</v>
      </c>
      <c r="Q65">
        <v>0</v>
      </c>
      <c r="R65">
        <v>0</v>
      </c>
      <c r="S65">
        <f t="shared" si="23"/>
        <v>0</v>
      </c>
    </row>
    <row r="66" spans="1:19" x14ac:dyDescent="0.25">
      <c r="A66" t="s">
        <v>68</v>
      </c>
      <c r="B66">
        <v>0</v>
      </c>
      <c r="C66">
        <v>15</v>
      </c>
      <c r="D66">
        <f t="shared" si="18"/>
        <v>15</v>
      </c>
      <c r="E66">
        <v>0</v>
      </c>
      <c r="F66">
        <v>13</v>
      </c>
      <c r="G66">
        <f t="shared" si="19"/>
        <v>13</v>
      </c>
      <c r="H66">
        <v>0</v>
      </c>
      <c r="I66">
        <v>2</v>
      </c>
      <c r="J66">
        <f t="shared" si="20"/>
        <v>2</v>
      </c>
      <c r="K66">
        <v>0</v>
      </c>
      <c r="L66">
        <v>0</v>
      </c>
      <c r="M66">
        <f t="shared" si="21"/>
        <v>0</v>
      </c>
      <c r="N66">
        <v>0</v>
      </c>
      <c r="O66">
        <v>0</v>
      </c>
      <c r="P66">
        <f t="shared" si="22"/>
        <v>0</v>
      </c>
      <c r="Q66">
        <v>0</v>
      </c>
      <c r="R66">
        <v>0</v>
      </c>
      <c r="S66">
        <f t="shared" si="23"/>
        <v>0</v>
      </c>
    </row>
    <row r="67" spans="1:19" x14ac:dyDescent="0.25">
      <c r="A67" t="s">
        <v>69</v>
      </c>
      <c r="B67">
        <v>2</v>
      </c>
      <c r="C67">
        <v>14</v>
      </c>
      <c r="D67">
        <f t="shared" si="18"/>
        <v>16</v>
      </c>
      <c r="E67">
        <v>2</v>
      </c>
      <c r="F67">
        <v>14</v>
      </c>
      <c r="G67">
        <f t="shared" si="19"/>
        <v>16</v>
      </c>
      <c r="H67">
        <v>0</v>
      </c>
      <c r="I67">
        <v>0</v>
      </c>
      <c r="J67">
        <f t="shared" si="20"/>
        <v>0</v>
      </c>
      <c r="K67">
        <v>0</v>
      </c>
      <c r="L67">
        <v>0</v>
      </c>
      <c r="M67">
        <f t="shared" si="21"/>
        <v>0</v>
      </c>
      <c r="N67">
        <v>0</v>
      </c>
      <c r="O67">
        <v>0</v>
      </c>
      <c r="P67">
        <f t="shared" si="22"/>
        <v>0</v>
      </c>
      <c r="Q67">
        <v>0</v>
      </c>
      <c r="R67">
        <v>0</v>
      </c>
      <c r="S67">
        <f t="shared" si="23"/>
        <v>0</v>
      </c>
    </row>
    <row r="68" spans="1:19" x14ac:dyDescent="0.25">
      <c r="A68" t="s">
        <v>70</v>
      </c>
      <c r="B68">
        <v>0</v>
      </c>
      <c r="C68">
        <v>0</v>
      </c>
      <c r="D68">
        <f t="shared" si="18"/>
        <v>0</v>
      </c>
      <c r="E68">
        <v>0</v>
      </c>
      <c r="F68">
        <v>0</v>
      </c>
      <c r="G68">
        <f t="shared" si="19"/>
        <v>0</v>
      </c>
      <c r="H68">
        <v>0</v>
      </c>
      <c r="I68">
        <v>0</v>
      </c>
      <c r="J68">
        <f t="shared" si="20"/>
        <v>0</v>
      </c>
      <c r="K68">
        <v>0</v>
      </c>
      <c r="L68">
        <v>0</v>
      </c>
      <c r="M68">
        <f t="shared" si="21"/>
        <v>0</v>
      </c>
      <c r="N68">
        <v>0</v>
      </c>
      <c r="O68">
        <v>0</v>
      </c>
      <c r="P68">
        <f t="shared" si="22"/>
        <v>0</v>
      </c>
      <c r="Q68">
        <v>0</v>
      </c>
      <c r="R68">
        <v>0</v>
      </c>
      <c r="S68">
        <f t="shared" si="23"/>
        <v>0</v>
      </c>
    </row>
    <row r="69" spans="1:19" x14ac:dyDescent="0.25">
      <c r="A69" t="s">
        <v>71</v>
      </c>
      <c r="B69">
        <v>0</v>
      </c>
      <c r="C69">
        <v>11</v>
      </c>
      <c r="D69">
        <f t="shared" si="18"/>
        <v>11</v>
      </c>
      <c r="E69">
        <v>0</v>
      </c>
      <c r="F69">
        <v>11</v>
      </c>
      <c r="G69">
        <f t="shared" si="19"/>
        <v>11</v>
      </c>
      <c r="H69">
        <v>0</v>
      </c>
      <c r="I69">
        <v>0</v>
      </c>
      <c r="J69">
        <f t="shared" si="20"/>
        <v>0</v>
      </c>
      <c r="K69">
        <v>0</v>
      </c>
      <c r="L69">
        <v>0</v>
      </c>
      <c r="M69">
        <f t="shared" si="21"/>
        <v>0</v>
      </c>
      <c r="N69">
        <v>0</v>
      </c>
      <c r="O69">
        <v>0</v>
      </c>
      <c r="P69">
        <f t="shared" si="22"/>
        <v>0</v>
      </c>
      <c r="Q69">
        <v>0</v>
      </c>
      <c r="R69">
        <v>0</v>
      </c>
      <c r="S69">
        <f t="shared" si="23"/>
        <v>0</v>
      </c>
    </row>
    <row r="70" spans="1:19" x14ac:dyDescent="0.25">
      <c r="A70" t="s">
        <v>72</v>
      </c>
      <c r="B70">
        <v>291</v>
      </c>
      <c r="C70">
        <v>334</v>
      </c>
      <c r="D70">
        <f t="shared" si="18"/>
        <v>625</v>
      </c>
      <c r="E70">
        <v>288</v>
      </c>
      <c r="F70">
        <v>300</v>
      </c>
      <c r="G70">
        <f t="shared" si="19"/>
        <v>588</v>
      </c>
      <c r="H70">
        <v>3</v>
      </c>
      <c r="I70">
        <v>24</v>
      </c>
      <c r="J70">
        <f t="shared" si="20"/>
        <v>27</v>
      </c>
      <c r="K70">
        <v>0</v>
      </c>
      <c r="L70">
        <v>6</v>
      </c>
      <c r="M70">
        <f t="shared" si="21"/>
        <v>6</v>
      </c>
      <c r="N70">
        <v>0</v>
      </c>
      <c r="O70">
        <v>3</v>
      </c>
      <c r="P70">
        <f t="shared" si="22"/>
        <v>3</v>
      </c>
      <c r="Q70">
        <v>0</v>
      </c>
      <c r="R70">
        <v>1</v>
      </c>
      <c r="S70">
        <f t="shared" si="23"/>
        <v>1</v>
      </c>
    </row>
    <row r="71" spans="1:19" x14ac:dyDescent="0.25">
      <c r="A71" t="s">
        <v>73</v>
      </c>
      <c r="B71">
        <v>287</v>
      </c>
      <c r="C71">
        <v>92</v>
      </c>
      <c r="D71">
        <f t="shared" si="18"/>
        <v>379</v>
      </c>
      <c r="E71">
        <v>186</v>
      </c>
      <c r="F71">
        <v>28</v>
      </c>
      <c r="G71">
        <f t="shared" si="19"/>
        <v>214</v>
      </c>
      <c r="H71">
        <v>29</v>
      </c>
      <c r="I71">
        <v>9</v>
      </c>
      <c r="J71">
        <f t="shared" si="20"/>
        <v>38</v>
      </c>
      <c r="K71">
        <v>22</v>
      </c>
      <c r="L71">
        <v>18</v>
      </c>
      <c r="M71">
        <f t="shared" si="21"/>
        <v>40</v>
      </c>
      <c r="N71">
        <v>21</v>
      </c>
      <c r="O71">
        <v>10</v>
      </c>
      <c r="P71">
        <f t="shared" si="22"/>
        <v>31</v>
      </c>
      <c r="Q71">
        <v>29</v>
      </c>
      <c r="R71">
        <v>27</v>
      </c>
      <c r="S71">
        <f t="shared" si="23"/>
        <v>56</v>
      </c>
    </row>
    <row r="72" spans="1:19" x14ac:dyDescent="0.25">
      <c r="A72" t="s">
        <v>74</v>
      </c>
      <c r="B72">
        <v>0</v>
      </c>
      <c r="C72">
        <v>2</v>
      </c>
      <c r="D72">
        <f t="shared" si="18"/>
        <v>2</v>
      </c>
      <c r="E72">
        <v>0</v>
      </c>
      <c r="F72">
        <v>1</v>
      </c>
      <c r="G72">
        <f t="shared" si="19"/>
        <v>1</v>
      </c>
      <c r="H72">
        <v>0</v>
      </c>
      <c r="I72">
        <v>1</v>
      </c>
      <c r="J72">
        <f t="shared" si="20"/>
        <v>1</v>
      </c>
      <c r="K72">
        <v>0</v>
      </c>
      <c r="L72">
        <v>0</v>
      </c>
      <c r="M72">
        <f t="shared" si="21"/>
        <v>0</v>
      </c>
      <c r="N72">
        <v>0</v>
      </c>
      <c r="O72">
        <v>0</v>
      </c>
      <c r="P72">
        <f t="shared" si="22"/>
        <v>0</v>
      </c>
      <c r="Q72">
        <v>0</v>
      </c>
      <c r="R72">
        <v>0</v>
      </c>
      <c r="S72">
        <f t="shared" si="23"/>
        <v>0</v>
      </c>
    </row>
    <row r="73" spans="1:19" x14ac:dyDescent="0.25">
      <c r="A73" t="s">
        <v>75</v>
      </c>
      <c r="B73">
        <v>0</v>
      </c>
      <c r="C73">
        <v>0</v>
      </c>
      <c r="D73">
        <f t="shared" si="18"/>
        <v>0</v>
      </c>
      <c r="E73">
        <v>0</v>
      </c>
      <c r="F73">
        <v>0</v>
      </c>
      <c r="G73">
        <f t="shared" si="19"/>
        <v>0</v>
      </c>
      <c r="H73">
        <v>0</v>
      </c>
      <c r="I73">
        <v>0</v>
      </c>
      <c r="J73">
        <f t="shared" si="20"/>
        <v>0</v>
      </c>
      <c r="K73">
        <v>0</v>
      </c>
      <c r="L73">
        <v>0</v>
      </c>
      <c r="M73">
        <f t="shared" si="21"/>
        <v>0</v>
      </c>
      <c r="N73">
        <v>0</v>
      </c>
      <c r="O73">
        <v>0</v>
      </c>
      <c r="P73">
        <f t="shared" si="22"/>
        <v>0</v>
      </c>
      <c r="Q73">
        <v>0</v>
      </c>
      <c r="R73">
        <v>0</v>
      </c>
      <c r="S73">
        <f t="shared" si="23"/>
        <v>0</v>
      </c>
    </row>
    <row r="74" spans="1:19" x14ac:dyDescent="0.25">
      <c r="A74" t="s">
        <v>76</v>
      </c>
      <c r="B74">
        <v>0</v>
      </c>
      <c r="C74">
        <v>0</v>
      </c>
      <c r="D74">
        <f t="shared" si="18"/>
        <v>0</v>
      </c>
      <c r="E74">
        <v>0</v>
      </c>
      <c r="F74">
        <v>0</v>
      </c>
      <c r="G74">
        <f t="shared" si="19"/>
        <v>0</v>
      </c>
      <c r="H74">
        <v>0</v>
      </c>
      <c r="I74">
        <v>0</v>
      </c>
      <c r="J74">
        <f t="shared" si="20"/>
        <v>0</v>
      </c>
      <c r="K74">
        <v>0</v>
      </c>
      <c r="L74">
        <v>0</v>
      </c>
      <c r="M74">
        <f t="shared" si="21"/>
        <v>0</v>
      </c>
      <c r="N74">
        <v>0</v>
      </c>
      <c r="O74">
        <v>0</v>
      </c>
      <c r="P74">
        <f t="shared" si="22"/>
        <v>0</v>
      </c>
      <c r="Q74">
        <v>0</v>
      </c>
      <c r="R74">
        <v>0</v>
      </c>
      <c r="S74">
        <f t="shared" si="23"/>
        <v>0</v>
      </c>
    </row>
    <row r="75" spans="1:19" x14ac:dyDescent="0.25">
      <c r="A75" t="s">
        <v>77</v>
      </c>
      <c r="B75">
        <v>0</v>
      </c>
      <c r="C75">
        <v>0</v>
      </c>
      <c r="D75">
        <f t="shared" si="18"/>
        <v>0</v>
      </c>
      <c r="E75">
        <v>0</v>
      </c>
      <c r="F75">
        <v>0</v>
      </c>
      <c r="G75">
        <f t="shared" si="19"/>
        <v>0</v>
      </c>
      <c r="H75">
        <v>0</v>
      </c>
      <c r="I75">
        <v>0</v>
      </c>
      <c r="J75">
        <f t="shared" si="20"/>
        <v>0</v>
      </c>
      <c r="K75">
        <v>0</v>
      </c>
      <c r="L75">
        <v>0</v>
      </c>
      <c r="M75">
        <f t="shared" si="21"/>
        <v>0</v>
      </c>
      <c r="N75">
        <v>0</v>
      </c>
      <c r="O75">
        <v>0</v>
      </c>
      <c r="P75">
        <f t="shared" si="22"/>
        <v>0</v>
      </c>
      <c r="Q75">
        <v>0</v>
      </c>
      <c r="R75">
        <v>0</v>
      </c>
      <c r="S75">
        <f t="shared" si="23"/>
        <v>0</v>
      </c>
    </row>
    <row r="76" spans="1:19" x14ac:dyDescent="0.25">
      <c r="A76" t="s">
        <v>78</v>
      </c>
      <c r="B76">
        <v>0</v>
      </c>
      <c r="C76">
        <v>0</v>
      </c>
      <c r="D76">
        <f t="shared" si="18"/>
        <v>0</v>
      </c>
      <c r="E76">
        <v>0</v>
      </c>
      <c r="F76">
        <v>0</v>
      </c>
      <c r="G76">
        <f t="shared" si="19"/>
        <v>0</v>
      </c>
      <c r="H76">
        <v>0</v>
      </c>
      <c r="I76">
        <v>0</v>
      </c>
      <c r="J76">
        <f t="shared" si="20"/>
        <v>0</v>
      </c>
      <c r="K76">
        <v>0</v>
      </c>
      <c r="L76">
        <v>0</v>
      </c>
      <c r="M76">
        <f t="shared" si="21"/>
        <v>0</v>
      </c>
      <c r="N76">
        <v>0</v>
      </c>
      <c r="O76">
        <v>0</v>
      </c>
      <c r="P76">
        <f t="shared" si="22"/>
        <v>0</v>
      </c>
      <c r="Q76">
        <v>0</v>
      </c>
      <c r="R76">
        <v>0</v>
      </c>
      <c r="S76">
        <f t="shared" si="23"/>
        <v>0</v>
      </c>
    </row>
    <row r="77" spans="1:19" x14ac:dyDescent="0.25">
      <c r="A77" t="s">
        <v>79</v>
      </c>
      <c r="B77">
        <v>0</v>
      </c>
      <c r="C77">
        <v>1</v>
      </c>
      <c r="D77">
        <f t="shared" si="18"/>
        <v>1</v>
      </c>
      <c r="E77">
        <v>0</v>
      </c>
      <c r="F77">
        <v>1</v>
      </c>
      <c r="G77">
        <f t="shared" si="19"/>
        <v>1</v>
      </c>
      <c r="H77">
        <v>0</v>
      </c>
      <c r="I77">
        <v>0</v>
      </c>
      <c r="J77">
        <f t="shared" si="20"/>
        <v>0</v>
      </c>
      <c r="K77">
        <v>0</v>
      </c>
      <c r="L77">
        <v>0</v>
      </c>
      <c r="M77">
        <f t="shared" si="21"/>
        <v>0</v>
      </c>
      <c r="N77">
        <v>0</v>
      </c>
      <c r="O77">
        <v>0</v>
      </c>
      <c r="P77">
        <f t="shared" si="22"/>
        <v>0</v>
      </c>
      <c r="Q77">
        <v>0</v>
      </c>
      <c r="R77">
        <v>0</v>
      </c>
      <c r="S77">
        <f t="shared" si="23"/>
        <v>0</v>
      </c>
    </row>
    <row r="78" spans="1:19" x14ac:dyDescent="0.25">
      <c r="A78" t="s">
        <v>80</v>
      </c>
      <c r="B78">
        <v>0</v>
      </c>
      <c r="C78">
        <v>1</v>
      </c>
      <c r="D78">
        <f t="shared" si="18"/>
        <v>1</v>
      </c>
      <c r="E78">
        <v>0</v>
      </c>
      <c r="F78">
        <v>1</v>
      </c>
      <c r="G78">
        <f t="shared" si="19"/>
        <v>1</v>
      </c>
      <c r="H78">
        <v>0</v>
      </c>
      <c r="I78">
        <v>0</v>
      </c>
      <c r="J78">
        <f t="shared" si="20"/>
        <v>0</v>
      </c>
      <c r="K78">
        <v>0</v>
      </c>
      <c r="L78">
        <v>0</v>
      </c>
      <c r="M78">
        <f t="shared" si="21"/>
        <v>0</v>
      </c>
      <c r="N78">
        <v>0</v>
      </c>
      <c r="O78">
        <v>0</v>
      </c>
      <c r="P78">
        <f t="shared" si="22"/>
        <v>0</v>
      </c>
      <c r="Q78">
        <v>0</v>
      </c>
      <c r="R78">
        <v>0</v>
      </c>
      <c r="S78">
        <f t="shared" si="23"/>
        <v>0</v>
      </c>
    </row>
    <row r="79" spans="1:19" x14ac:dyDescent="0.25">
      <c r="A79" t="s">
        <v>81</v>
      </c>
      <c r="B79">
        <v>0</v>
      </c>
      <c r="C79">
        <v>0</v>
      </c>
      <c r="D79">
        <f t="shared" si="18"/>
        <v>0</v>
      </c>
      <c r="E79">
        <v>0</v>
      </c>
      <c r="F79">
        <v>0</v>
      </c>
      <c r="G79">
        <f t="shared" si="19"/>
        <v>0</v>
      </c>
      <c r="H79">
        <v>0</v>
      </c>
      <c r="I79">
        <v>0</v>
      </c>
      <c r="J79">
        <f t="shared" si="20"/>
        <v>0</v>
      </c>
      <c r="K79">
        <v>0</v>
      </c>
      <c r="L79">
        <v>0</v>
      </c>
      <c r="M79">
        <f t="shared" si="21"/>
        <v>0</v>
      </c>
      <c r="N79">
        <v>0</v>
      </c>
      <c r="O79">
        <v>0</v>
      </c>
      <c r="P79">
        <f t="shared" si="22"/>
        <v>0</v>
      </c>
      <c r="Q79">
        <v>0</v>
      </c>
      <c r="R79">
        <v>0</v>
      </c>
      <c r="S79">
        <f t="shared" si="23"/>
        <v>0</v>
      </c>
    </row>
    <row r="80" spans="1:19" x14ac:dyDescent="0.25">
      <c r="A80" t="s">
        <v>82</v>
      </c>
      <c r="B80">
        <v>0</v>
      </c>
      <c r="C80">
        <v>0</v>
      </c>
      <c r="D80">
        <f t="shared" si="18"/>
        <v>0</v>
      </c>
      <c r="E80">
        <v>0</v>
      </c>
      <c r="F80">
        <v>0</v>
      </c>
      <c r="G80">
        <f t="shared" si="19"/>
        <v>0</v>
      </c>
      <c r="H80">
        <v>0</v>
      </c>
      <c r="I80">
        <v>0</v>
      </c>
      <c r="J80">
        <f t="shared" si="20"/>
        <v>0</v>
      </c>
      <c r="K80">
        <v>0</v>
      </c>
      <c r="L80">
        <v>0</v>
      </c>
      <c r="M80">
        <f t="shared" si="21"/>
        <v>0</v>
      </c>
      <c r="N80">
        <v>0</v>
      </c>
      <c r="O80">
        <v>0</v>
      </c>
      <c r="P80">
        <f t="shared" si="22"/>
        <v>0</v>
      </c>
      <c r="Q80">
        <v>0</v>
      </c>
      <c r="R80">
        <v>0</v>
      </c>
      <c r="S80">
        <f t="shared" si="23"/>
        <v>0</v>
      </c>
    </row>
    <row r="81" spans="1:19" x14ac:dyDescent="0.25">
      <c r="A81" t="s">
        <v>83</v>
      </c>
      <c r="B81">
        <v>0</v>
      </c>
      <c r="C81">
        <v>0</v>
      </c>
      <c r="D81">
        <f t="shared" si="18"/>
        <v>0</v>
      </c>
      <c r="E81">
        <v>0</v>
      </c>
      <c r="F81">
        <v>0</v>
      </c>
      <c r="G81">
        <f t="shared" si="19"/>
        <v>0</v>
      </c>
      <c r="H81">
        <v>0</v>
      </c>
      <c r="I81">
        <v>0</v>
      </c>
      <c r="J81">
        <f t="shared" si="20"/>
        <v>0</v>
      </c>
      <c r="K81">
        <v>0</v>
      </c>
      <c r="L81">
        <v>0</v>
      </c>
      <c r="M81">
        <f t="shared" si="21"/>
        <v>0</v>
      </c>
      <c r="N81">
        <v>0</v>
      </c>
      <c r="O81">
        <v>0</v>
      </c>
      <c r="P81">
        <f t="shared" si="22"/>
        <v>0</v>
      </c>
      <c r="Q81">
        <v>0</v>
      </c>
      <c r="R81">
        <v>0</v>
      </c>
      <c r="S81">
        <f t="shared" si="23"/>
        <v>0</v>
      </c>
    </row>
    <row r="82" spans="1:19" x14ac:dyDescent="0.25">
      <c r="A82" t="s">
        <v>84</v>
      </c>
      <c r="B82">
        <v>0</v>
      </c>
      <c r="C82">
        <v>0</v>
      </c>
      <c r="D82">
        <f t="shared" si="18"/>
        <v>0</v>
      </c>
      <c r="E82">
        <v>0</v>
      </c>
      <c r="F82">
        <v>0</v>
      </c>
      <c r="G82">
        <f t="shared" si="19"/>
        <v>0</v>
      </c>
      <c r="H82">
        <v>0</v>
      </c>
      <c r="I82">
        <v>0</v>
      </c>
      <c r="J82">
        <f t="shared" si="20"/>
        <v>0</v>
      </c>
      <c r="K82">
        <v>0</v>
      </c>
      <c r="L82">
        <v>0</v>
      </c>
      <c r="M82">
        <f t="shared" si="21"/>
        <v>0</v>
      </c>
      <c r="N82">
        <v>0</v>
      </c>
      <c r="O82">
        <v>0</v>
      </c>
      <c r="P82">
        <f t="shared" si="22"/>
        <v>0</v>
      </c>
      <c r="Q82">
        <v>0</v>
      </c>
      <c r="R82">
        <v>0</v>
      </c>
      <c r="S82">
        <f t="shared" si="23"/>
        <v>0</v>
      </c>
    </row>
    <row r="83" spans="1:19" x14ac:dyDescent="0.25">
      <c r="A83" t="s">
        <v>85</v>
      </c>
      <c r="B83">
        <v>0</v>
      </c>
      <c r="C83">
        <v>0</v>
      </c>
      <c r="D83">
        <f t="shared" si="18"/>
        <v>0</v>
      </c>
      <c r="E83">
        <v>0</v>
      </c>
      <c r="F83">
        <v>0</v>
      </c>
      <c r="G83">
        <f t="shared" si="19"/>
        <v>0</v>
      </c>
      <c r="H83">
        <v>0</v>
      </c>
      <c r="I83">
        <v>0</v>
      </c>
      <c r="J83">
        <f t="shared" si="20"/>
        <v>0</v>
      </c>
      <c r="K83">
        <v>0</v>
      </c>
      <c r="L83">
        <v>0</v>
      </c>
      <c r="M83">
        <f t="shared" si="21"/>
        <v>0</v>
      </c>
      <c r="N83">
        <v>0</v>
      </c>
      <c r="O83">
        <v>0</v>
      </c>
      <c r="P83">
        <f t="shared" si="22"/>
        <v>0</v>
      </c>
      <c r="Q83">
        <v>0</v>
      </c>
      <c r="R83">
        <v>0</v>
      </c>
      <c r="S83">
        <f t="shared" si="23"/>
        <v>0</v>
      </c>
    </row>
    <row r="84" spans="1:19" x14ac:dyDescent="0.25">
      <c r="A84" t="s">
        <v>86</v>
      </c>
      <c r="B84">
        <v>0</v>
      </c>
      <c r="C84">
        <v>0</v>
      </c>
      <c r="D84">
        <f t="shared" si="18"/>
        <v>0</v>
      </c>
      <c r="E84">
        <v>0</v>
      </c>
      <c r="F84">
        <v>0</v>
      </c>
      <c r="G84">
        <f t="shared" si="19"/>
        <v>0</v>
      </c>
      <c r="H84">
        <v>0</v>
      </c>
      <c r="I84">
        <v>0</v>
      </c>
      <c r="J84">
        <f t="shared" si="20"/>
        <v>0</v>
      </c>
      <c r="K84">
        <v>0</v>
      </c>
      <c r="L84">
        <v>0</v>
      </c>
      <c r="M84">
        <f t="shared" si="21"/>
        <v>0</v>
      </c>
      <c r="N84">
        <v>0</v>
      </c>
      <c r="O84">
        <v>0</v>
      </c>
      <c r="P84">
        <f t="shared" si="22"/>
        <v>0</v>
      </c>
      <c r="Q84">
        <v>0</v>
      </c>
      <c r="R84">
        <v>0</v>
      </c>
      <c r="S84">
        <f t="shared" si="23"/>
        <v>0</v>
      </c>
    </row>
    <row r="85" spans="1:19" x14ac:dyDescent="0.25">
      <c r="A85" t="s">
        <v>87</v>
      </c>
      <c r="B85">
        <v>3</v>
      </c>
      <c r="C85">
        <v>1</v>
      </c>
      <c r="D85">
        <f t="shared" si="18"/>
        <v>4</v>
      </c>
      <c r="E85">
        <v>3</v>
      </c>
      <c r="F85">
        <v>1</v>
      </c>
      <c r="G85">
        <f t="shared" si="19"/>
        <v>4</v>
      </c>
      <c r="H85">
        <v>0</v>
      </c>
      <c r="I85">
        <v>0</v>
      </c>
      <c r="J85">
        <f t="shared" si="20"/>
        <v>0</v>
      </c>
      <c r="K85">
        <v>0</v>
      </c>
      <c r="L85">
        <v>0</v>
      </c>
      <c r="M85">
        <f t="shared" si="21"/>
        <v>0</v>
      </c>
      <c r="N85">
        <v>0</v>
      </c>
      <c r="O85">
        <v>0</v>
      </c>
      <c r="P85">
        <f t="shared" si="22"/>
        <v>0</v>
      </c>
      <c r="Q85">
        <v>0</v>
      </c>
      <c r="R85">
        <v>0</v>
      </c>
      <c r="S85">
        <f t="shared" si="23"/>
        <v>0</v>
      </c>
    </row>
    <row r="87" spans="1:19" x14ac:dyDescent="0.25">
      <c r="A87" s="8" t="s">
        <v>88</v>
      </c>
      <c r="B87" s="8" t="s">
        <v>88</v>
      </c>
      <c r="C87" s="8" t="s">
        <v>88</v>
      </c>
      <c r="D87" s="8" t="s">
        <v>88</v>
      </c>
      <c r="E87" s="8" t="s">
        <v>88</v>
      </c>
      <c r="F87" s="8" t="s">
        <v>88</v>
      </c>
      <c r="G87" s="8" t="s">
        <v>88</v>
      </c>
      <c r="H87" s="8" t="s">
        <v>88</v>
      </c>
      <c r="I87" s="8" t="s">
        <v>88</v>
      </c>
      <c r="J87" s="8" t="s">
        <v>88</v>
      </c>
      <c r="K87" s="8" t="s">
        <v>88</v>
      </c>
      <c r="L87" s="8" t="s">
        <v>88</v>
      </c>
      <c r="M87" s="8" t="s">
        <v>88</v>
      </c>
      <c r="N87" s="8" t="s">
        <v>88</v>
      </c>
      <c r="O87" s="8" t="s">
        <v>88</v>
      </c>
      <c r="P87" s="8" t="s">
        <v>88</v>
      </c>
      <c r="Q87" s="8" t="s">
        <v>88</v>
      </c>
      <c r="R87" s="8" t="s">
        <v>88</v>
      </c>
      <c r="S87" s="8" t="s">
        <v>88</v>
      </c>
    </row>
    <row r="88" spans="1:19" x14ac:dyDescent="0.25">
      <c r="A88" t="s">
        <v>89</v>
      </c>
      <c r="B88">
        <v>0</v>
      </c>
      <c r="C88">
        <v>0</v>
      </c>
      <c r="D88">
        <f t="shared" ref="D88:D96" si="24">B88+C88</f>
        <v>0</v>
      </c>
      <c r="E88">
        <v>0</v>
      </c>
      <c r="F88">
        <v>0</v>
      </c>
      <c r="G88">
        <f t="shared" ref="G88:G96" si="25">E88+F88</f>
        <v>0</v>
      </c>
      <c r="H88">
        <v>0</v>
      </c>
      <c r="I88">
        <v>0</v>
      </c>
      <c r="J88">
        <f t="shared" ref="J88:J96" si="26">H88+I88</f>
        <v>0</v>
      </c>
      <c r="K88">
        <v>0</v>
      </c>
      <c r="L88">
        <v>0</v>
      </c>
      <c r="M88">
        <f t="shared" ref="M88:M96" si="27">K88+L88</f>
        <v>0</v>
      </c>
      <c r="N88">
        <v>0</v>
      </c>
      <c r="O88">
        <v>0</v>
      </c>
      <c r="P88">
        <f t="shared" ref="P88:P96" si="28">N88+O88</f>
        <v>0</v>
      </c>
      <c r="Q88">
        <v>0</v>
      </c>
      <c r="R88">
        <v>0</v>
      </c>
      <c r="S88">
        <f t="shared" ref="S88:S96" si="29">Q88+R88</f>
        <v>0</v>
      </c>
    </row>
    <row r="89" spans="1:19" x14ac:dyDescent="0.25">
      <c r="A89" t="s">
        <v>90</v>
      </c>
      <c r="B89">
        <v>0</v>
      </c>
      <c r="C89">
        <v>2</v>
      </c>
      <c r="D89">
        <f t="shared" si="24"/>
        <v>2</v>
      </c>
      <c r="E89">
        <v>0</v>
      </c>
      <c r="F89">
        <v>2</v>
      </c>
      <c r="G89">
        <f t="shared" si="25"/>
        <v>2</v>
      </c>
      <c r="H89">
        <v>0</v>
      </c>
      <c r="I89">
        <v>0</v>
      </c>
      <c r="J89">
        <f t="shared" si="26"/>
        <v>0</v>
      </c>
      <c r="K89">
        <v>0</v>
      </c>
      <c r="L89">
        <v>0</v>
      </c>
      <c r="M89">
        <f t="shared" si="27"/>
        <v>0</v>
      </c>
      <c r="N89">
        <v>0</v>
      </c>
      <c r="O89">
        <v>0</v>
      </c>
      <c r="P89">
        <f t="shared" si="28"/>
        <v>0</v>
      </c>
      <c r="Q89">
        <v>0</v>
      </c>
      <c r="R89">
        <v>0</v>
      </c>
      <c r="S89">
        <f t="shared" si="29"/>
        <v>0</v>
      </c>
    </row>
    <row r="90" spans="1:19" x14ac:dyDescent="0.25">
      <c r="A90" t="s">
        <v>91</v>
      </c>
      <c r="B90">
        <v>31</v>
      </c>
      <c r="C90">
        <v>115</v>
      </c>
      <c r="D90">
        <f t="shared" si="24"/>
        <v>146</v>
      </c>
      <c r="E90">
        <v>12</v>
      </c>
      <c r="F90">
        <v>36</v>
      </c>
      <c r="G90">
        <f t="shared" si="25"/>
        <v>48</v>
      </c>
      <c r="H90">
        <v>11</v>
      </c>
      <c r="I90">
        <v>34</v>
      </c>
      <c r="J90">
        <f t="shared" si="26"/>
        <v>45</v>
      </c>
      <c r="K90">
        <v>2</v>
      </c>
      <c r="L90">
        <v>5</v>
      </c>
      <c r="M90">
        <f t="shared" si="27"/>
        <v>7</v>
      </c>
      <c r="N90">
        <v>4</v>
      </c>
      <c r="O90">
        <v>9</v>
      </c>
      <c r="P90">
        <f t="shared" si="28"/>
        <v>13</v>
      </c>
      <c r="Q90">
        <v>2</v>
      </c>
      <c r="R90">
        <v>31</v>
      </c>
      <c r="S90">
        <f t="shared" si="29"/>
        <v>33</v>
      </c>
    </row>
    <row r="91" spans="1:19" x14ac:dyDescent="0.25">
      <c r="A91" t="s">
        <v>92</v>
      </c>
      <c r="B91">
        <v>5</v>
      </c>
      <c r="C91">
        <v>10</v>
      </c>
      <c r="D91">
        <f t="shared" si="24"/>
        <v>15</v>
      </c>
      <c r="E91">
        <v>5</v>
      </c>
      <c r="F91">
        <v>10</v>
      </c>
      <c r="G91">
        <f t="shared" si="25"/>
        <v>15</v>
      </c>
      <c r="H91">
        <v>0</v>
      </c>
      <c r="I91">
        <v>0</v>
      </c>
      <c r="J91">
        <f t="shared" si="26"/>
        <v>0</v>
      </c>
      <c r="K91">
        <v>0</v>
      </c>
      <c r="L91">
        <v>0</v>
      </c>
      <c r="M91">
        <f t="shared" si="27"/>
        <v>0</v>
      </c>
      <c r="N91">
        <v>0</v>
      </c>
      <c r="O91">
        <v>0</v>
      </c>
      <c r="P91">
        <f t="shared" si="28"/>
        <v>0</v>
      </c>
      <c r="Q91">
        <v>0</v>
      </c>
      <c r="R91">
        <v>0</v>
      </c>
      <c r="S91">
        <f t="shared" si="29"/>
        <v>0</v>
      </c>
    </row>
    <row r="92" spans="1:19" x14ac:dyDescent="0.25">
      <c r="A92" t="s">
        <v>93</v>
      </c>
      <c r="B92">
        <v>13</v>
      </c>
      <c r="C92">
        <v>51</v>
      </c>
      <c r="D92">
        <f t="shared" si="24"/>
        <v>64</v>
      </c>
      <c r="E92">
        <v>13</v>
      </c>
      <c r="F92">
        <v>51</v>
      </c>
      <c r="G92">
        <f t="shared" si="25"/>
        <v>64</v>
      </c>
      <c r="H92">
        <v>0</v>
      </c>
      <c r="I92">
        <v>0</v>
      </c>
      <c r="J92">
        <f t="shared" si="26"/>
        <v>0</v>
      </c>
      <c r="K92">
        <v>0</v>
      </c>
      <c r="L92">
        <v>0</v>
      </c>
      <c r="M92">
        <f t="shared" si="27"/>
        <v>0</v>
      </c>
      <c r="N92">
        <v>0</v>
      </c>
      <c r="O92">
        <v>0</v>
      </c>
      <c r="P92">
        <f t="shared" si="28"/>
        <v>0</v>
      </c>
      <c r="Q92">
        <v>0</v>
      </c>
      <c r="R92">
        <v>0</v>
      </c>
      <c r="S92">
        <f t="shared" si="29"/>
        <v>0</v>
      </c>
    </row>
    <row r="93" spans="1:19" x14ac:dyDescent="0.25">
      <c r="A93" t="s">
        <v>94</v>
      </c>
      <c r="B93">
        <v>0</v>
      </c>
      <c r="C93">
        <v>0</v>
      </c>
      <c r="D93">
        <f t="shared" si="24"/>
        <v>0</v>
      </c>
      <c r="E93">
        <v>0</v>
      </c>
      <c r="F93">
        <v>0</v>
      </c>
      <c r="G93">
        <f t="shared" si="25"/>
        <v>0</v>
      </c>
      <c r="H93">
        <v>0</v>
      </c>
      <c r="I93">
        <v>0</v>
      </c>
      <c r="J93">
        <f t="shared" si="26"/>
        <v>0</v>
      </c>
      <c r="K93">
        <v>0</v>
      </c>
      <c r="L93">
        <v>0</v>
      </c>
      <c r="M93">
        <f t="shared" si="27"/>
        <v>0</v>
      </c>
      <c r="N93">
        <v>0</v>
      </c>
      <c r="O93">
        <v>0</v>
      </c>
      <c r="P93">
        <f t="shared" si="28"/>
        <v>0</v>
      </c>
      <c r="Q93">
        <v>0</v>
      </c>
      <c r="R93">
        <v>0</v>
      </c>
      <c r="S93">
        <f t="shared" si="29"/>
        <v>0</v>
      </c>
    </row>
    <row r="94" spans="1:19" x14ac:dyDescent="0.25">
      <c r="A94" t="s">
        <v>95</v>
      </c>
      <c r="B94">
        <v>0</v>
      </c>
      <c r="C94">
        <v>0</v>
      </c>
      <c r="D94">
        <f t="shared" si="24"/>
        <v>0</v>
      </c>
      <c r="E94">
        <v>0</v>
      </c>
      <c r="F94">
        <v>0</v>
      </c>
      <c r="G94">
        <f t="shared" si="25"/>
        <v>0</v>
      </c>
      <c r="H94">
        <v>0</v>
      </c>
      <c r="I94">
        <v>0</v>
      </c>
      <c r="J94">
        <f t="shared" si="26"/>
        <v>0</v>
      </c>
      <c r="K94">
        <v>0</v>
      </c>
      <c r="L94">
        <v>0</v>
      </c>
      <c r="M94">
        <f t="shared" si="27"/>
        <v>0</v>
      </c>
      <c r="N94">
        <v>0</v>
      </c>
      <c r="O94">
        <v>0</v>
      </c>
      <c r="P94">
        <f t="shared" si="28"/>
        <v>0</v>
      </c>
      <c r="Q94">
        <v>0</v>
      </c>
      <c r="R94">
        <v>0</v>
      </c>
      <c r="S94">
        <f t="shared" si="29"/>
        <v>0</v>
      </c>
    </row>
    <row r="95" spans="1:19" x14ac:dyDescent="0.25">
      <c r="A95" t="s">
        <v>96</v>
      </c>
      <c r="B95">
        <v>0</v>
      </c>
      <c r="C95">
        <v>0</v>
      </c>
      <c r="D95">
        <f t="shared" si="24"/>
        <v>0</v>
      </c>
      <c r="E95">
        <v>0</v>
      </c>
      <c r="F95">
        <v>0</v>
      </c>
      <c r="G95">
        <f t="shared" si="25"/>
        <v>0</v>
      </c>
      <c r="H95">
        <v>0</v>
      </c>
      <c r="I95">
        <v>0</v>
      </c>
      <c r="J95">
        <f t="shared" si="26"/>
        <v>0</v>
      </c>
      <c r="K95">
        <v>0</v>
      </c>
      <c r="L95">
        <v>0</v>
      </c>
      <c r="M95">
        <f t="shared" si="27"/>
        <v>0</v>
      </c>
      <c r="N95">
        <v>0</v>
      </c>
      <c r="O95">
        <v>0</v>
      </c>
      <c r="P95">
        <f t="shared" si="28"/>
        <v>0</v>
      </c>
      <c r="Q95">
        <v>0</v>
      </c>
      <c r="R95">
        <v>0</v>
      </c>
      <c r="S95">
        <f t="shared" si="29"/>
        <v>0</v>
      </c>
    </row>
    <row r="96" spans="1:19" x14ac:dyDescent="0.25">
      <c r="A96" t="s">
        <v>97</v>
      </c>
      <c r="B96">
        <v>5</v>
      </c>
      <c r="C96">
        <v>13</v>
      </c>
      <c r="D96">
        <f t="shared" si="24"/>
        <v>18</v>
      </c>
      <c r="E96">
        <v>5</v>
      </c>
      <c r="F96">
        <v>13</v>
      </c>
      <c r="G96">
        <f t="shared" si="25"/>
        <v>18</v>
      </c>
      <c r="H96">
        <v>0</v>
      </c>
      <c r="I96">
        <v>0</v>
      </c>
      <c r="J96">
        <f t="shared" si="26"/>
        <v>0</v>
      </c>
      <c r="K96">
        <v>0</v>
      </c>
      <c r="L96">
        <v>0</v>
      </c>
      <c r="M96">
        <f t="shared" si="27"/>
        <v>0</v>
      </c>
      <c r="N96">
        <v>0</v>
      </c>
      <c r="O96">
        <v>0</v>
      </c>
      <c r="P96">
        <f t="shared" si="28"/>
        <v>0</v>
      </c>
      <c r="Q96">
        <v>0</v>
      </c>
      <c r="R96">
        <v>0</v>
      </c>
      <c r="S96">
        <f t="shared" si="29"/>
        <v>0</v>
      </c>
    </row>
    <row r="98" spans="1:19" x14ac:dyDescent="0.25">
      <c r="A98" s="8" t="s">
        <v>98</v>
      </c>
      <c r="B98" s="8" t="s">
        <v>98</v>
      </c>
      <c r="C98" s="8" t="s">
        <v>98</v>
      </c>
      <c r="D98" s="8" t="s">
        <v>98</v>
      </c>
      <c r="E98" s="8" t="s">
        <v>98</v>
      </c>
      <c r="F98" s="8" t="s">
        <v>98</v>
      </c>
      <c r="G98" s="8" t="s">
        <v>98</v>
      </c>
      <c r="H98" s="8" t="s">
        <v>98</v>
      </c>
      <c r="I98" s="8" t="s">
        <v>98</v>
      </c>
      <c r="J98" s="8" t="s">
        <v>98</v>
      </c>
      <c r="K98" s="8" t="s">
        <v>98</v>
      </c>
      <c r="L98" s="8" t="s">
        <v>98</v>
      </c>
      <c r="M98" s="8" t="s">
        <v>98</v>
      </c>
      <c r="N98" s="8" t="s">
        <v>98</v>
      </c>
      <c r="O98" s="8" t="s">
        <v>98</v>
      </c>
      <c r="P98" s="8" t="s">
        <v>98</v>
      </c>
      <c r="Q98" s="8" t="s">
        <v>98</v>
      </c>
      <c r="R98" s="8" t="s">
        <v>98</v>
      </c>
      <c r="S98" s="8" t="s">
        <v>98</v>
      </c>
    </row>
    <row r="99" spans="1:19" x14ac:dyDescent="0.25">
      <c r="A99" t="s">
        <v>99</v>
      </c>
      <c r="B99">
        <v>1</v>
      </c>
      <c r="C99">
        <v>1</v>
      </c>
      <c r="D99">
        <f t="shared" ref="D99:D112" si="30">B99+C99</f>
        <v>2</v>
      </c>
      <c r="E99">
        <v>1</v>
      </c>
      <c r="F99">
        <v>1</v>
      </c>
      <c r="G99">
        <f t="shared" ref="G99:G112" si="31">E99+F99</f>
        <v>2</v>
      </c>
      <c r="H99">
        <v>0</v>
      </c>
      <c r="I99">
        <v>0</v>
      </c>
      <c r="J99">
        <f t="shared" ref="J99:J112" si="32">H99+I99</f>
        <v>0</v>
      </c>
      <c r="K99">
        <v>0</v>
      </c>
      <c r="L99">
        <v>0</v>
      </c>
      <c r="M99">
        <f t="shared" ref="M99:M112" si="33">K99+L99</f>
        <v>0</v>
      </c>
      <c r="N99">
        <v>0</v>
      </c>
      <c r="O99">
        <v>0</v>
      </c>
      <c r="P99">
        <f t="shared" ref="P99:P112" si="34">N99+O99</f>
        <v>0</v>
      </c>
      <c r="Q99">
        <v>0</v>
      </c>
      <c r="R99">
        <v>0</v>
      </c>
      <c r="S99">
        <f t="shared" ref="S99:S112" si="35">Q99+R99</f>
        <v>0</v>
      </c>
    </row>
    <row r="100" spans="1:19" x14ac:dyDescent="0.25">
      <c r="A100" t="s">
        <v>100</v>
      </c>
      <c r="B100">
        <v>0</v>
      </c>
      <c r="C100">
        <v>0</v>
      </c>
      <c r="D100">
        <f t="shared" si="30"/>
        <v>0</v>
      </c>
      <c r="E100">
        <v>0</v>
      </c>
      <c r="F100">
        <v>0</v>
      </c>
      <c r="G100">
        <f t="shared" si="31"/>
        <v>0</v>
      </c>
      <c r="H100">
        <v>0</v>
      </c>
      <c r="I100">
        <v>0</v>
      </c>
      <c r="J100">
        <f t="shared" si="32"/>
        <v>0</v>
      </c>
      <c r="K100">
        <v>0</v>
      </c>
      <c r="L100">
        <v>0</v>
      </c>
      <c r="M100">
        <f t="shared" si="33"/>
        <v>0</v>
      </c>
      <c r="N100">
        <v>0</v>
      </c>
      <c r="O100">
        <v>0</v>
      </c>
      <c r="P100">
        <f t="shared" si="34"/>
        <v>0</v>
      </c>
      <c r="Q100">
        <v>0</v>
      </c>
      <c r="R100">
        <v>0</v>
      </c>
      <c r="S100">
        <f t="shared" si="35"/>
        <v>0</v>
      </c>
    </row>
    <row r="101" spans="1:19" x14ac:dyDescent="0.25">
      <c r="A101" t="s">
        <v>101</v>
      </c>
      <c r="B101">
        <v>2</v>
      </c>
      <c r="C101">
        <v>34</v>
      </c>
      <c r="D101">
        <f t="shared" si="30"/>
        <v>36</v>
      </c>
      <c r="E101">
        <v>2</v>
      </c>
      <c r="F101">
        <v>32</v>
      </c>
      <c r="G101">
        <f t="shared" si="31"/>
        <v>34</v>
      </c>
      <c r="H101">
        <v>0</v>
      </c>
      <c r="I101">
        <v>2</v>
      </c>
      <c r="J101">
        <f t="shared" si="32"/>
        <v>2</v>
      </c>
      <c r="K101">
        <v>0</v>
      </c>
      <c r="L101">
        <v>0</v>
      </c>
      <c r="M101">
        <f t="shared" si="33"/>
        <v>0</v>
      </c>
      <c r="N101">
        <v>0</v>
      </c>
      <c r="O101">
        <v>0</v>
      </c>
      <c r="P101">
        <f t="shared" si="34"/>
        <v>0</v>
      </c>
      <c r="Q101">
        <v>0</v>
      </c>
      <c r="R101">
        <v>0</v>
      </c>
      <c r="S101">
        <f t="shared" si="35"/>
        <v>0</v>
      </c>
    </row>
    <row r="102" spans="1:19" x14ac:dyDescent="0.25">
      <c r="A102" t="s">
        <v>102</v>
      </c>
      <c r="B102">
        <v>0</v>
      </c>
      <c r="C102">
        <v>0</v>
      </c>
      <c r="D102">
        <f t="shared" si="30"/>
        <v>0</v>
      </c>
      <c r="E102">
        <v>0</v>
      </c>
      <c r="F102">
        <v>0</v>
      </c>
      <c r="G102">
        <f t="shared" si="31"/>
        <v>0</v>
      </c>
      <c r="H102">
        <v>0</v>
      </c>
      <c r="I102">
        <v>0</v>
      </c>
      <c r="J102">
        <f t="shared" si="32"/>
        <v>0</v>
      </c>
      <c r="K102">
        <v>0</v>
      </c>
      <c r="L102">
        <v>0</v>
      </c>
      <c r="M102">
        <f t="shared" si="33"/>
        <v>0</v>
      </c>
      <c r="N102">
        <v>0</v>
      </c>
      <c r="O102">
        <v>0</v>
      </c>
      <c r="P102">
        <f t="shared" si="34"/>
        <v>0</v>
      </c>
      <c r="Q102">
        <v>0</v>
      </c>
      <c r="R102">
        <v>0</v>
      </c>
      <c r="S102">
        <f t="shared" si="35"/>
        <v>0</v>
      </c>
    </row>
    <row r="103" spans="1:19" x14ac:dyDescent="0.25">
      <c r="A103" t="s">
        <v>103</v>
      </c>
      <c r="B103">
        <v>60</v>
      </c>
      <c r="C103">
        <v>49</v>
      </c>
      <c r="D103">
        <f t="shared" si="30"/>
        <v>109</v>
      </c>
      <c r="E103">
        <v>60</v>
      </c>
      <c r="F103">
        <v>49</v>
      </c>
      <c r="G103">
        <f t="shared" si="31"/>
        <v>109</v>
      </c>
      <c r="H103">
        <v>0</v>
      </c>
      <c r="I103">
        <v>0</v>
      </c>
      <c r="J103">
        <f t="shared" si="32"/>
        <v>0</v>
      </c>
      <c r="K103">
        <v>0</v>
      </c>
      <c r="L103">
        <v>0</v>
      </c>
      <c r="M103">
        <f t="shared" si="33"/>
        <v>0</v>
      </c>
      <c r="N103">
        <v>0</v>
      </c>
      <c r="O103">
        <v>0</v>
      </c>
      <c r="P103">
        <f t="shared" si="34"/>
        <v>0</v>
      </c>
      <c r="Q103">
        <v>0</v>
      </c>
      <c r="R103">
        <v>0</v>
      </c>
      <c r="S103">
        <f t="shared" si="35"/>
        <v>0</v>
      </c>
    </row>
    <row r="104" spans="1:19" x14ac:dyDescent="0.25">
      <c r="A104" t="s">
        <v>104</v>
      </c>
      <c r="B104">
        <v>61</v>
      </c>
      <c r="C104">
        <v>66</v>
      </c>
      <c r="D104">
        <f t="shared" si="30"/>
        <v>127</v>
      </c>
      <c r="E104">
        <v>61</v>
      </c>
      <c r="F104">
        <v>66</v>
      </c>
      <c r="G104">
        <f t="shared" si="31"/>
        <v>127</v>
      </c>
      <c r="H104">
        <v>0</v>
      </c>
      <c r="I104">
        <v>0</v>
      </c>
      <c r="J104">
        <f t="shared" si="32"/>
        <v>0</v>
      </c>
      <c r="K104">
        <v>0</v>
      </c>
      <c r="L104">
        <v>0</v>
      </c>
      <c r="M104">
        <f t="shared" si="33"/>
        <v>0</v>
      </c>
      <c r="N104">
        <v>0</v>
      </c>
      <c r="O104">
        <v>0</v>
      </c>
      <c r="P104">
        <f t="shared" si="34"/>
        <v>0</v>
      </c>
      <c r="Q104">
        <v>0</v>
      </c>
      <c r="R104">
        <v>0</v>
      </c>
      <c r="S104">
        <f t="shared" si="35"/>
        <v>0</v>
      </c>
    </row>
    <row r="105" spans="1:19" x14ac:dyDescent="0.25">
      <c r="A105" t="s">
        <v>105</v>
      </c>
      <c r="B105">
        <v>1</v>
      </c>
      <c r="C105">
        <v>9</v>
      </c>
      <c r="D105">
        <f t="shared" si="30"/>
        <v>10</v>
      </c>
      <c r="E105">
        <v>1</v>
      </c>
      <c r="F105">
        <v>9</v>
      </c>
      <c r="G105">
        <f t="shared" si="31"/>
        <v>10</v>
      </c>
      <c r="H105">
        <v>0</v>
      </c>
      <c r="I105">
        <v>0</v>
      </c>
      <c r="J105">
        <f t="shared" si="32"/>
        <v>0</v>
      </c>
      <c r="K105">
        <v>0</v>
      </c>
      <c r="L105">
        <v>0</v>
      </c>
      <c r="M105">
        <f t="shared" si="33"/>
        <v>0</v>
      </c>
      <c r="N105">
        <v>0</v>
      </c>
      <c r="O105">
        <v>0</v>
      </c>
      <c r="P105">
        <f t="shared" si="34"/>
        <v>0</v>
      </c>
      <c r="Q105">
        <v>0</v>
      </c>
      <c r="R105">
        <v>0</v>
      </c>
      <c r="S105">
        <f t="shared" si="35"/>
        <v>0</v>
      </c>
    </row>
    <row r="106" spans="1:19" x14ac:dyDescent="0.25">
      <c r="A106" t="s">
        <v>106</v>
      </c>
      <c r="B106">
        <v>37</v>
      </c>
      <c r="C106">
        <v>31</v>
      </c>
      <c r="D106">
        <f t="shared" si="30"/>
        <v>68</v>
      </c>
      <c r="E106">
        <v>37</v>
      </c>
      <c r="F106">
        <v>31</v>
      </c>
      <c r="G106">
        <f t="shared" si="31"/>
        <v>68</v>
      </c>
      <c r="H106">
        <v>0</v>
      </c>
      <c r="I106">
        <v>0</v>
      </c>
      <c r="J106">
        <f t="shared" si="32"/>
        <v>0</v>
      </c>
      <c r="K106">
        <v>0</v>
      </c>
      <c r="L106">
        <v>0</v>
      </c>
      <c r="M106">
        <f t="shared" si="33"/>
        <v>0</v>
      </c>
      <c r="N106">
        <v>0</v>
      </c>
      <c r="O106">
        <v>0</v>
      </c>
      <c r="P106">
        <f t="shared" si="34"/>
        <v>0</v>
      </c>
      <c r="Q106">
        <v>0</v>
      </c>
      <c r="R106">
        <v>0</v>
      </c>
      <c r="S106">
        <f t="shared" si="35"/>
        <v>0</v>
      </c>
    </row>
    <row r="107" spans="1:19" x14ac:dyDescent="0.25">
      <c r="A107" t="s">
        <v>107</v>
      </c>
      <c r="B107">
        <v>22</v>
      </c>
      <c r="C107">
        <v>29</v>
      </c>
      <c r="D107">
        <f t="shared" si="30"/>
        <v>51</v>
      </c>
      <c r="E107">
        <v>22</v>
      </c>
      <c r="F107">
        <v>29</v>
      </c>
      <c r="G107">
        <f t="shared" si="31"/>
        <v>51</v>
      </c>
      <c r="H107">
        <v>0</v>
      </c>
      <c r="I107">
        <v>0</v>
      </c>
      <c r="J107">
        <f t="shared" si="32"/>
        <v>0</v>
      </c>
      <c r="K107">
        <v>0</v>
      </c>
      <c r="L107">
        <v>0</v>
      </c>
      <c r="M107">
        <f t="shared" si="33"/>
        <v>0</v>
      </c>
      <c r="N107">
        <v>0</v>
      </c>
      <c r="O107">
        <v>0</v>
      </c>
      <c r="P107">
        <f t="shared" si="34"/>
        <v>0</v>
      </c>
      <c r="Q107">
        <v>0</v>
      </c>
      <c r="R107">
        <v>0</v>
      </c>
      <c r="S107">
        <f t="shared" si="35"/>
        <v>0</v>
      </c>
    </row>
    <row r="108" spans="1:19" x14ac:dyDescent="0.25">
      <c r="A108" t="s">
        <v>108</v>
      </c>
      <c r="B108">
        <v>0</v>
      </c>
      <c r="C108">
        <v>13</v>
      </c>
      <c r="D108">
        <f t="shared" si="30"/>
        <v>13</v>
      </c>
      <c r="E108">
        <v>0</v>
      </c>
      <c r="F108">
        <v>12</v>
      </c>
      <c r="G108">
        <f t="shared" si="31"/>
        <v>12</v>
      </c>
      <c r="H108">
        <v>0</v>
      </c>
      <c r="I108">
        <v>1</v>
      </c>
      <c r="J108">
        <f t="shared" si="32"/>
        <v>1</v>
      </c>
      <c r="K108">
        <v>0</v>
      </c>
      <c r="L108">
        <v>0</v>
      </c>
      <c r="M108">
        <f t="shared" si="33"/>
        <v>0</v>
      </c>
      <c r="N108">
        <v>0</v>
      </c>
      <c r="O108">
        <v>0</v>
      </c>
      <c r="P108">
        <f t="shared" si="34"/>
        <v>0</v>
      </c>
      <c r="Q108">
        <v>0</v>
      </c>
      <c r="R108">
        <v>0</v>
      </c>
      <c r="S108">
        <f t="shared" si="35"/>
        <v>0</v>
      </c>
    </row>
    <row r="109" spans="1:19" x14ac:dyDescent="0.25">
      <c r="A109" t="s">
        <v>109</v>
      </c>
      <c r="B109">
        <v>0</v>
      </c>
      <c r="C109">
        <v>5</v>
      </c>
      <c r="D109">
        <f t="shared" si="30"/>
        <v>5</v>
      </c>
      <c r="E109">
        <v>0</v>
      </c>
      <c r="F109">
        <v>0</v>
      </c>
      <c r="G109">
        <f t="shared" si="31"/>
        <v>0</v>
      </c>
      <c r="H109">
        <v>0</v>
      </c>
      <c r="I109">
        <v>0</v>
      </c>
      <c r="J109">
        <f t="shared" si="32"/>
        <v>0</v>
      </c>
      <c r="K109">
        <v>0</v>
      </c>
      <c r="L109">
        <v>0</v>
      </c>
      <c r="M109">
        <f t="shared" si="33"/>
        <v>0</v>
      </c>
      <c r="N109">
        <v>0</v>
      </c>
      <c r="O109">
        <v>0</v>
      </c>
      <c r="P109">
        <f t="shared" si="34"/>
        <v>0</v>
      </c>
      <c r="Q109">
        <v>0</v>
      </c>
      <c r="R109">
        <v>5</v>
      </c>
      <c r="S109">
        <f t="shared" si="35"/>
        <v>5</v>
      </c>
    </row>
    <row r="110" spans="1:19" x14ac:dyDescent="0.25">
      <c r="A110" t="s">
        <v>110</v>
      </c>
      <c r="B110">
        <v>0</v>
      </c>
      <c r="C110">
        <v>4</v>
      </c>
      <c r="D110">
        <f t="shared" si="30"/>
        <v>4</v>
      </c>
      <c r="E110">
        <v>0</v>
      </c>
      <c r="F110">
        <v>4</v>
      </c>
      <c r="G110">
        <f t="shared" si="31"/>
        <v>4</v>
      </c>
      <c r="H110">
        <v>0</v>
      </c>
      <c r="I110">
        <v>0</v>
      </c>
      <c r="J110">
        <f t="shared" si="32"/>
        <v>0</v>
      </c>
      <c r="K110">
        <v>0</v>
      </c>
      <c r="L110">
        <v>0</v>
      </c>
      <c r="M110">
        <f t="shared" si="33"/>
        <v>0</v>
      </c>
      <c r="N110">
        <v>0</v>
      </c>
      <c r="O110">
        <v>0</v>
      </c>
      <c r="P110">
        <f t="shared" si="34"/>
        <v>0</v>
      </c>
      <c r="Q110">
        <v>0</v>
      </c>
      <c r="R110">
        <v>0</v>
      </c>
      <c r="S110">
        <f t="shared" si="35"/>
        <v>0</v>
      </c>
    </row>
    <row r="111" spans="1:19" x14ac:dyDescent="0.25">
      <c r="A111" t="s">
        <v>111</v>
      </c>
      <c r="B111">
        <v>0</v>
      </c>
      <c r="C111">
        <v>0</v>
      </c>
      <c r="D111">
        <f t="shared" si="30"/>
        <v>0</v>
      </c>
      <c r="E111">
        <v>0</v>
      </c>
      <c r="F111">
        <v>0</v>
      </c>
      <c r="G111">
        <f t="shared" si="31"/>
        <v>0</v>
      </c>
      <c r="H111">
        <v>0</v>
      </c>
      <c r="I111">
        <v>0</v>
      </c>
      <c r="J111">
        <f t="shared" si="32"/>
        <v>0</v>
      </c>
      <c r="K111">
        <v>0</v>
      </c>
      <c r="L111">
        <v>0</v>
      </c>
      <c r="M111">
        <f t="shared" si="33"/>
        <v>0</v>
      </c>
      <c r="N111">
        <v>0</v>
      </c>
      <c r="O111">
        <v>0</v>
      </c>
      <c r="P111">
        <f t="shared" si="34"/>
        <v>0</v>
      </c>
      <c r="Q111">
        <v>0</v>
      </c>
      <c r="R111">
        <v>0</v>
      </c>
      <c r="S111">
        <f t="shared" si="35"/>
        <v>0</v>
      </c>
    </row>
    <row r="112" spans="1:19" x14ac:dyDescent="0.25">
      <c r="A112" t="s">
        <v>112</v>
      </c>
      <c r="B112">
        <v>0</v>
      </c>
      <c r="C112">
        <v>0</v>
      </c>
      <c r="D112">
        <f t="shared" si="30"/>
        <v>0</v>
      </c>
      <c r="E112">
        <v>0</v>
      </c>
      <c r="F112">
        <v>0</v>
      </c>
      <c r="G112">
        <f t="shared" si="31"/>
        <v>0</v>
      </c>
      <c r="H112">
        <v>0</v>
      </c>
      <c r="I112">
        <v>0</v>
      </c>
      <c r="J112">
        <f t="shared" si="32"/>
        <v>0</v>
      </c>
      <c r="K112">
        <v>0</v>
      </c>
      <c r="L112">
        <v>0</v>
      </c>
      <c r="M112">
        <f t="shared" si="33"/>
        <v>0</v>
      </c>
      <c r="N112">
        <v>0</v>
      </c>
      <c r="O112">
        <v>0</v>
      </c>
      <c r="P112">
        <f t="shared" si="34"/>
        <v>0</v>
      </c>
      <c r="Q112">
        <v>0</v>
      </c>
      <c r="R112">
        <v>0</v>
      </c>
      <c r="S112">
        <f t="shared" si="35"/>
        <v>0</v>
      </c>
    </row>
    <row r="114" spans="1:19" x14ac:dyDescent="0.25">
      <c r="A114" s="8" t="s">
        <v>113</v>
      </c>
      <c r="B114" s="8" t="s">
        <v>113</v>
      </c>
      <c r="C114" s="8" t="s">
        <v>113</v>
      </c>
      <c r="D114" s="8" t="s">
        <v>113</v>
      </c>
      <c r="E114" s="8" t="s">
        <v>113</v>
      </c>
      <c r="F114" s="8" t="s">
        <v>113</v>
      </c>
      <c r="G114" s="8" t="s">
        <v>113</v>
      </c>
      <c r="H114" s="8" t="s">
        <v>113</v>
      </c>
      <c r="I114" s="8" t="s">
        <v>113</v>
      </c>
      <c r="J114" s="8" t="s">
        <v>113</v>
      </c>
      <c r="K114" s="8" t="s">
        <v>113</v>
      </c>
      <c r="L114" s="8" t="s">
        <v>113</v>
      </c>
      <c r="M114" s="8" t="s">
        <v>113</v>
      </c>
      <c r="N114" s="8" t="s">
        <v>113</v>
      </c>
      <c r="O114" s="8" t="s">
        <v>113</v>
      </c>
      <c r="P114" s="8" t="s">
        <v>113</v>
      </c>
      <c r="Q114" s="8" t="s">
        <v>113</v>
      </c>
      <c r="R114" s="8" t="s">
        <v>113</v>
      </c>
      <c r="S114" s="8" t="s">
        <v>113</v>
      </c>
    </row>
    <row r="115" spans="1:19" x14ac:dyDescent="0.25">
      <c r="A115" t="s">
        <v>114</v>
      </c>
      <c r="B115">
        <v>49</v>
      </c>
      <c r="C115">
        <v>32</v>
      </c>
      <c r="D115">
        <f t="shared" ref="D115:D122" si="36">B115+C115</f>
        <v>81</v>
      </c>
      <c r="E115">
        <v>48</v>
      </c>
      <c r="F115">
        <v>31</v>
      </c>
      <c r="G115">
        <f t="shared" ref="G115:G122" si="37">E115+F115</f>
        <v>79</v>
      </c>
      <c r="H115">
        <v>1</v>
      </c>
      <c r="I115">
        <v>1</v>
      </c>
      <c r="J115">
        <f t="shared" ref="J115:J122" si="38">H115+I115</f>
        <v>2</v>
      </c>
      <c r="K115">
        <v>0</v>
      </c>
      <c r="L115">
        <v>0</v>
      </c>
      <c r="M115">
        <f t="shared" ref="M115:M122" si="39">K115+L115</f>
        <v>0</v>
      </c>
      <c r="N115">
        <v>0</v>
      </c>
      <c r="O115">
        <v>0</v>
      </c>
      <c r="P115">
        <f t="shared" ref="P115:P122" si="40">N115+O115</f>
        <v>0</v>
      </c>
      <c r="Q115">
        <v>0</v>
      </c>
      <c r="R115">
        <v>0</v>
      </c>
      <c r="S115">
        <f t="shared" ref="S115:S122" si="41">Q115+R115</f>
        <v>0</v>
      </c>
    </row>
    <row r="116" spans="1:19" x14ac:dyDescent="0.25">
      <c r="A116" t="s">
        <v>115</v>
      </c>
      <c r="B116">
        <v>3</v>
      </c>
      <c r="C116">
        <v>5</v>
      </c>
      <c r="D116">
        <f t="shared" si="36"/>
        <v>8</v>
      </c>
      <c r="E116">
        <v>3</v>
      </c>
      <c r="F116">
        <v>5</v>
      </c>
      <c r="G116">
        <f t="shared" si="37"/>
        <v>8</v>
      </c>
      <c r="H116">
        <v>0</v>
      </c>
      <c r="I116">
        <v>0</v>
      </c>
      <c r="J116">
        <f t="shared" si="38"/>
        <v>0</v>
      </c>
      <c r="K116">
        <v>0</v>
      </c>
      <c r="L116">
        <v>0</v>
      </c>
      <c r="M116">
        <f t="shared" si="39"/>
        <v>0</v>
      </c>
      <c r="N116">
        <v>0</v>
      </c>
      <c r="O116">
        <v>0</v>
      </c>
      <c r="P116">
        <f t="shared" si="40"/>
        <v>0</v>
      </c>
      <c r="Q116">
        <v>0</v>
      </c>
      <c r="R116">
        <v>0</v>
      </c>
      <c r="S116">
        <f t="shared" si="41"/>
        <v>0</v>
      </c>
    </row>
    <row r="117" spans="1:19" x14ac:dyDescent="0.25">
      <c r="A117" t="s">
        <v>116</v>
      </c>
      <c r="B117">
        <v>24</v>
      </c>
      <c r="C117">
        <v>94</v>
      </c>
      <c r="D117">
        <f t="shared" si="36"/>
        <v>118</v>
      </c>
      <c r="E117">
        <v>23</v>
      </c>
      <c r="F117">
        <v>89</v>
      </c>
      <c r="G117">
        <f t="shared" si="37"/>
        <v>112</v>
      </c>
      <c r="H117">
        <v>1</v>
      </c>
      <c r="I117">
        <v>5</v>
      </c>
      <c r="J117">
        <f t="shared" si="38"/>
        <v>6</v>
      </c>
      <c r="K117">
        <v>0</v>
      </c>
      <c r="L117">
        <v>0</v>
      </c>
      <c r="M117">
        <f t="shared" si="39"/>
        <v>0</v>
      </c>
      <c r="N117">
        <v>0</v>
      </c>
      <c r="O117">
        <v>0</v>
      </c>
      <c r="P117">
        <f t="shared" si="40"/>
        <v>0</v>
      </c>
      <c r="Q117">
        <v>0</v>
      </c>
      <c r="R117">
        <v>0</v>
      </c>
      <c r="S117">
        <f t="shared" si="41"/>
        <v>0</v>
      </c>
    </row>
    <row r="118" spans="1:19" x14ac:dyDescent="0.25">
      <c r="A118" t="s">
        <v>117</v>
      </c>
      <c r="B118">
        <v>0</v>
      </c>
      <c r="C118">
        <v>12</v>
      </c>
      <c r="D118">
        <f t="shared" si="36"/>
        <v>12</v>
      </c>
      <c r="E118">
        <v>0</v>
      </c>
      <c r="F118">
        <v>10</v>
      </c>
      <c r="G118">
        <f t="shared" si="37"/>
        <v>10</v>
      </c>
      <c r="H118">
        <v>0</v>
      </c>
      <c r="I118">
        <v>1</v>
      </c>
      <c r="J118">
        <f t="shared" si="38"/>
        <v>1</v>
      </c>
      <c r="K118">
        <v>0</v>
      </c>
      <c r="L118">
        <v>0</v>
      </c>
      <c r="M118">
        <f t="shared" si="39"/>
        <v>0</v>
      </c>
      <c r="N118">
        <v>0</v>
      </c>
      <c r="O118">
        <v>0</v>
      </c>
      <c r="P118">
        <f t="shared" si="40"/>
        <v>0</v>
      </c>
      <c r="Q118">
        <v>0</v>
      </c>
      <c r="R118">
        <v>1</v>
      </c>
      <c r="S118">
        <f t="shared" si="41"/>
        <v>1</v>
      </c>
    </row>
    <row r="119" spans="1:19" x14ac:dyDescent="0.25">
      <c r="A119" t="s">
        <v>118</v>
      </c>
      <c r="B119">
        <v>0</v>
      </c>
      <c r="C119">
        <v>12</v>
      </c>
      <c r="D119">
        <f t="shared" si="36"/>
        <v>12</v>
      </c>
      <c r="E119">
        <v>0</v>
      </c>
      <c r="F119">
        <v>12</v>
      </c>
      <c r="G119">
        <f t="shared" si="37"/>
        <v>12</v>
      </c>
      <c r="H119">
        <v>0</v>
      </c>
      <c r="I119">
        <v>0</v>
      </c>
      <c r="J119">
        <f t="shared" si="38"/>
        <v>0</v>
      </c>
      <c r="K119">
        <v>0</v>
      </c>
      <c r="L119">
        <v>0</v>
      </c>
      <c r="M119">
        <f t="shared" si="39"/>
        <v>0</v>
      </c>
      <c r="N119">
        <v>0</v>
      </c>
      <c r="O119">
        <v>0</v>
      </c>
      <c r="P119">
        <f t="shared" si="40"/>
        <v>0</v>
      </c>
      <c r="Q119">
        <v>0</v>
      </c>
      <c r="R119">
        <v>0</v>
      </c>
      <c r="S119">
        <f t="shared" si="41"/>
        <v>0</v>
      </c>
    </row>
    <row r="120" spans="1:19" x14ac:dyDescent="0.25">
      <c r="A120" t="s">
        <v>119</v>
      </c>
      <c r="B120">
        <v>19</v>
      </c>
      <c r="C120">
        <v>0</v>
      </c>
      <c r="D120">
        <f t="shared" si="36"/>
        <v>19</v>
      </c>
      <c r="E120">
        <v>16</v>
      </c>
      <c r="F120">
        <v>0</v>
      </c>
      <c r="G120">
        <f t="shared" si="37"/>
        <v>16</v>
      </c>
      <c r="H120">
        <v>3</v>
      </c>
      <c r="I120">
        <v>0</v>
      </c>
      <c r="J120">
        <f t="shared" si="38"/>
        <v>3</v>
      </c>
      <c r="K120">
        <v>0</v>
      </c>
      <c r="L120">
        <v>0</v>
      </c>
      <c r="M120">
        <f t="shared" si="39"/>
        <v>0</v>
      </c>
      <c r="N120">
        <v>0</v>
      </c>
      <c r="O120">
        <v>0</v>
      </c>
      <c r="P120">
        <f t="shared" si="40"/>
        <v>0</v>
      </c>
      <c r="Q120">
        <v>0</v>
      </c>
      <c r="R120">
        <v>0</v>
      </c>
      <c r="S120">
        <f t="shared" si="41"/>
        <v>0</v>
      </c>
    </row>
    <row r="121" spans="1:19" x14ac:dyDescent="0.25">
      <c r="A121" t="s">
        <v>120</v>
      </c>
      <c r="B121">
        <v>2</v>
      </c>
      <c r="C121">
        <v>2</v>
      </c>
      <c r="D121">
        <f t="shared" si="36"/>
        <v>4</v>
      </c>
      <c r="E121">
        <v>1</v>
      </c>
      <c r="F121">
        <v>1</v>
      </c>
      <c r="G121">
        <f t="shared" si="37"/>
        <v>2</v>
      </c>
      <c r="H121">
        <v>1</v>
      </c>
      <c r="I121">
        <v>1</v>
      </c>
      <c r="J121">
        <f t="shared" si="38"/>
        <v>2</v>
      </c>
      <c r="K121">
        <v>0</v>
      </c>
      <c r="L121">
        <v>0</v>
      </c>
      <c r="M121">
        <f t="shared" si="39"/>
        <v>0</v>
      </c>
      <c r="N121">
        <v>0</v>
      </c>
      <c r="O121">
        <v>0</v>
      </c>
      <c r="P121">
        <f t="shared" si="40"/>
        <v>0</v>
      </c>
      <c r="Q121">
        <v>0</v>
      </c>
      <c r="R121">
        <v>0</v>
      </c>
      <c r="S121">
        <f t="shared" si="41"/>
        <v>0</v>
      </c>
    </row>
    <row r="122" spans="1:19" x14ac:dyDescent="0.25">
      <c r="A122" t="s">
        <v>121</v>
      </c>
      <c r="B122">
        <v>0</v>
      </c>
      <c r="C122">
        <v>2</v>
      </c>
      <c r="D122">
        <f t="shared" si="36"/>
        <v>2</v>
      </c>
      <c r="E122">
        <v>0</v>
      </c>
      <c r="F122">
        <v>2</v>
      </c>
      <c r="G122">
        <f t="shared" si="37"/>
        <v>2</v>
      </c>
      <c r="H122">
        <v>0</v>
      </c>
      <c r="I122">
        <v>0</v>
      </c>
      <c r="J122">
        <f t="shared" si="38"/>
        <v>0</v>
      </c>
      <c r="K122">
        <v>0</v>
      </c>
      <c r="L122">
        <v>0</v>
      </c>
      <c r="M122">
        <f t="shared" si="39"/>
        <v>0</v>
      </c>
      <c r="N122">
        <v>0</v>
      </c>
      <c r="O122">
        <v>0</v>
      </c>
      <c r="P122">
        <f t="shared" si="40"/>
        <v>0</v>
      </c>
      <c r="Q122">
        <v>0</v>
      </c>
      <c r="R122">
        <v>0</v>
      </c>
      <c r="S122">
        <f t="shared" si="41"/>
        <v>0</v>
      </c>
    </row>
    <row r="124" spans="1:19" x14ac:dyDescent="0.25">
      <c r="A124" s="8" t="s">
        <v>122</v>
      </c>
      <c r="B124" s="8" t="s">
        <v>122</v>
      </c>
      <c r="C124" s="8" t="s">
        <v>122</v>
      </c>
      <c r="D124" s="8" t="s">
        <v>122</v>
      </c>
      <c r="E124" s="8" t="s">
        <v>122</v>
      </c>
      <c r="F124" s="8" t="s">
        <v>122</v>
      </c>
      <c r="G124" s="8" t="s">
        <v>122</v>
      </c>
      <c r="H124" s="8" t="s">
        <v>122</v>
      </c>
      <c r="I124" s="8" t="s">
        <v>122</v>
      </c>
      <c r="J124" s="8" t="s">
        <v>122</v>
      </c>
      <c r="K124" s="8" t="s">
        <v>122</v>
      </c>
      <c r="L124" s="8" t="s">
        <v>122</v>
      </c>
      <c r="M124" s="8" t="s">
        <v>122</v>
      </c>
      <c r="N124" s="8" t="s">
        <v>122</v>
      </c>
      <c r="O124" s="8" t="s">
        <v>122</v>
      </c>
      <c r="P124" s="8" t="s">
        <v>122</v>
      </c>
      <c r="Q124" s="8" t="s">
        <v>122</v>
      </c>
      <c r="R124" s="8" t="s">
        <v>122</v>
      </c>
      <c r="S124" s="8" t="s">
        <v>122</v>
      </c>
    </row>
    <row r="125" spans="1:19" x14ac:dyDescent="0.25">
      <c r="A125" t="s">
        <v>123</v>
      </c>
      <c r="B125">
        <v>0</v>
      </c>
      <c r="C125">
        <v>0</v>
      </c>
      <c r="D125">
        <f t="shared" ref="D125:D136" si="42">B125+C125</f>
        <v>0</v>
      </c>
      <c r="E125">
        <v>0</v>
      </c>
      <c r="F125">
        <v>0</v>
      </c>
      <c r="G125">
        <f t="shared" ref="G125:G136" si="43">E125+F125</f>
        <v>0</v>
      </c>
      <c r="H125">
        <v>0</v>
      </c>
      <c r="I125">
        <v>0</v>
      </c>
      <c r="J125">
        <f t="shared" ref="J125:J136" si="44">H125+I125</f>
        <v>0</v>
      </c>
      <c r="K125">
        <v>0</v>
      </c>
      <c r="L125">
        <v>0</v>
      </c>
      <c r="M125">
        <f t="shared" ref="M125:M136" si="45">K125+L125</f>
        <v>0</v>
      </c>
      <c r="N125">
        <v>0</v>
      </c>
      <c r="O125">
        <v>0</v>
      </c>
      <c r="P125">
        <f t="shared" ref="P125:P136" si="46">N125+O125</f>
        <v>0</v>
      </c>
      <c r="Q125">
        <v>0</v>
      </c>
      <c r="R125">
        <v>0</v>
      </c>
      <c r="S125">
        <f t="shared" ref="S125:S136" si="47">Q125+R125</f>
        <v>0</v>
      </c>
    </row>
    <row r="126" spans="1:19" x14ac:dyDescent="0.25">
      <c r="A126" t="s">
        <v>124</v>
      </c>
      <c r="B126">
        <v>0</v>
      </c>
      <c r="C126">
        <v>0</v>
      </c>
      <c r="D126">
        <f t="shared" si="42"/>
        <v>0</v>
      </c>
      <c r="E126">
        <v>0</v>
      </c>
      <c r="F126">
        <v>0</v>
      </c>
      <c r="G126">
        <f t="shared" si="43"/>
        <v>0</v>
      </c>
      <c r="H126">
        <v>0</v>
      </c>
      <c r="I126">
        <v>0</v>
      </c>
      <c r="J126">
        <f t="shared" si="44"/>
        <v>0</v>
      </c>
      <c r="K126">
        <v>0</v>
      </c>
      <c r="L126">
        <v>0</v>
      </c>
      <c r="M126">
        <f t="shared" si="45"/>
        <v>0</v>
      </c>
      <c r="N126">
        <v>0</v>
      </c>
      <c r="O126">
        <v>0</v>
      </c>
      <c r="P126">
        <f t="shared" si="46"/>
        <v>0</v>
      </c>
      <c r="Q126">
        <v>0</v>
      </c>
      <c r="R126">
        <v>0</v>
      </c>
      <c r="S126">
        <f t="shared" si="47"/>
        <v>0</v>
      </c>
    </row>
    <row r="127" spans="1:19" x14ac:dyDescent="0.25">
      <c r="A127" t="s">
        <v>125</v>
      </c>
      <c r="B127">
        <v>0</v>
      </c>
      <c r="C127">
        <v>0</v>
      </c>
      <c r="D127">
        <f t="shared" si="42"/>
        <v>0</v>
      </c>
      <c r="E127">
        <v>0</v>
      </c>
      <c r="F127">
        <v>0</v>
      </c>
      <c r="G127">
        <f t="shared" si="43"/>
        <v>0</v>
      </c>
      <c r="H127">
        <v>0</v>
      </c>
      <c r="I127">
        <v>0</v>
      </c>
      <c r="J127">
        <f t="shared" si="44"/>
        <v>0</v>
      </c>
      <c r="K127">
        <v>0</v>
      </c>
      <c r="L127">
        <v>0</v>
      </c>
      <c r="M127">
        <f t="shared" si="45"/>
        <v>0</v>
      </c>
      <c r="N127">
        <v>0</v>
      </c>
      <c r="O127">
        <v>0</v>
      </c>
      <c r="P127">
        <f t="shared" si="46"/>
        <v>0</v>
      </c>
      <c r="Q127">
        <v>0</v>
      </c>
      <c r="R127">
        <v>0</v>
      </c>
      <c r="S127">
        <f t="shared" si="47"/>
        <v>0</v>
      </c>
    </row>
    <row r="128" spans="1:19" x14ac:dyDescent="0.25">
      <c r="A128" t="s">
        <v>126</v>
      </c>
      <c r="B128">
        <v>0</v>
      </c>
      <c r="C128">
        <v>1</v>
      </c>
      <c r="D128">
        <f t="shared" si="42"/>
        <v>1</v>
      </c>
      <c r="E128">
        <v>0</v>
      </c>
      <c r="F128">
        <v>1</v>
      </c>
      <c r="G128">
        <f t="shared" si="43"/>
        <v>1</v>
      </c>
      <c r="H128">
        <v>0</v>
      </c>
      <c r="I128">
        <v>0</v>
      </c>
      <c r="J128">
        <f t="shared" si="44"/>
        <v>0</v>
      </c>
      <c r="K128">
        <v>0</v>
      </c>
      <c r="L128">
        <v>0</v>
      </c>
      <c r="M128">
        <f t="shared" si="45"/>
        <v>0</v>
      </c>
      <c r="N128">
        <v>0</v>
      </c>
      <c r="O128">
        <v>0</v>
      </c>
      <c r="P128">
        <f t="shared" si="46"/>
        <v>0</v>
      </c>
      <c r="Q128">
        <v>0</v>
      </c>
      <c r="R128">
        <v>0</v>
      </c>
      <c r="S128">
        <f t="shared" si="47"/>
        <v>0</v>
      </c>
    </row>
    <row r="129" spans="1:19" x14ac:dyDescent="0.25">
      <c r="A129" t="s">
        <v>127</v>
      </c>
      <c r="B129">
        <v>2</v>
      </c>
      <c r="C129">
        <v>4</v>
      </c>
      <c r="D129">
        <f t="shared" si="42"/>
        <v>6</v>
      </c>
      <c r="E129">
        <v>2</v>
      </c>
      <c r="F129">
        <v>3</v>
      </c>
      <c r="G129">
        <f t="shared" si="43"/>
        <v>5</v>
      </c>
      <c r="H129">
        <v>0</v>
      </c>
      <c r="I129">
        <v>1</v>
      </c>
      <c r="J129">
        <f t="shared" si="44"/>
        <v>1</v>
      </c>
      <c r="K129">
        <v>0</v>
      </c>
      <c r="L129">
        <v>0</v>
      </c>
      <c r="M129">
        <f t="shared" si="45"/>
        <v>0</v>
      </c>
      <c r="N129">
        <v>0</v>
      </c>
      <c r="O129">
        <v>0</v>
      </c>
      <c r="P129">
        <f t="shared" si="46"/>
        <v>0</v>
      </c>
      <c r="Q129">
        <v>0</v>
      </c>
      <c r="R129">
        <v>0</v>
      </c>
      <c r="S129">
        <f t="shared" si="47"/>
        <v>0</v>
      </c>
    </row>
    <row r="130" spans="1:19" x14ac:dyDescent="0.25">
      <c r="A130" t="s">
        <v>128</v>
      </c>
      <c r="B130">
        <v>133</v>
      </c>
      <c r="C130">
        <v>173</v>
      </c>
      <c r="D130">
        <f t="shared" si="42"/>
        <v>306</v>
      </c>
      <c r="E130">
        <v>132</v>
      </c>
      <c r="F130">
        <v>166</v>
      </c>
      <c r="G130">
        <f t="shared" si="43"/>
        <v>298</v>
      </c>
      <c r="H130">
        <v>0</v>
      </c>
      <c r="I130">
        <v>7</v>
      </c>
      <c r="J130">
        <f t="shared" si="44"/>
        <v>7</v>
      </c>
      <c r="K130">
        <v>1</v>
      </c>
      <c r="L130">
        <v>0</v>
      </c>
      <c r="M130">
        <f t="shared" si="45"/>
        <v>1</v>
      </c>
      <c r="N130">
        <v>0</v>
      </c>
      <c r="O130">
        <v>0</v>
      </c>
      <c r="P130">
        <f t="shared" si="46"/>
        <v>0</v>
      </c>
      <c r="Q130">
        <v>0</v>
      </c>
      <c r="R130">
        <v>0</v>
      </c>
      <c r="S130">
        <f t="shared" si="47"/>
        <v>0</v>
      </c>
    </row>
    <row r="131" spans="1:19" x14ac:dyDescent="0.25">
      <c r="A131" t="s">
        <v>129</v>
      </c>
      <c r="B131">
        <v>0</v>
      </c>
      <c r="C131">
        <v>2</v>
      </c>
      <c r="D131">
        <f t="shared" si="42"/>
        <v>2</v>
      </c>
      <c r="E131">
        <v>0</v>
      </c>
      <c r="F131">
        <v>2</v>
      </c>
      <c r="G131">
        <f t="shared" si="43"/>
        <v>2</v>
      </c>
      <c r="H131">
        <v>0</v>
      </c>
      <c r="I131">
        <v>0</v>
      </c>
      <c r="J131">
        <f t="shared" si="44"/>
        <v>0</v>
      </c>
      <c r="K131">
        <v>0</v>
      </c>
      <c r="L131">
        <v>0</v>
      </c>
      <c r="M131">
        <f t="shared" si="45"/>
        <v>0</v>
      </c>
      <c r="N131">
        <v>0</v>
      </c>
      <c r="O131">
        <v>0</v>
      </c>
      <c r="P131">
        <f t="shared" si="46"/>
        <v>0</v>
      </c>
      <c r="Q131">
        <v>0</v>
      </c>
      <c r="R131">
        <v>0</v>
      </c>
      <c r="S131">
        <f t="shared" si="47"/>
        <v>0</v>
      </c>
    </row>
    <row r="132" spans="1:19" x14ac:dyDescent="0.25">
      <c r="A132" t="s">
        <v>130</v>
      </c>
      <c r="B132">
        <v>5</v>
      </c>
      <c r="C132">
        <v>10</v>
      </c>
      <c r="D132">
        <f t="shared" si="42"/>
        <v>15</v>
      </c>
      <c r="E132">
        <v>5</v>
      </c>
      <c r="F132">
        <v>10</v>
      </c>
      <c r="G132">
        <f t="shared" si="43"/>
        <v>15</v>
      </c>
      <c r="H132">
        <v>0</v>
      </c>
      <c r="I132">
        <v>0</v>
      </c>
      <c r="J132">
        <f t="shared" si="44"/>
        <v>0</v>
      </c>
      <c r="K132">
        <v>0</v>
      </c>
      <c r="L132">
        <v>0</v>
      </c>
      <c r="M132">
        <f t="shared" si="45"/>
        <v>0</v>
      </c>
      <c r="N132">
        <v>0</v>
      </c>
      <c r="O132">
        <v>0</v>
      </c>
      <c r="P132">
        <f t="shared" si="46"/>
        <v>0</v>
      </c>
      <c r="Q132">
        <v>0</v>
      </c>
      <c r="R132">
        <v>0</v>
      </c>
      <c r="S132">
        <f t="shared" si="47"/>
        <v>0</v>
      </c>
    </row>
    <row r="133" spans="1:19" x14ac:dyDescent="0.25">
      <c r="A133" t="s">
        <v>131</v>
      </c>
      <c r="B133">
        <v>0</v>
      </c>
      <c r="C133">
        <v>0</v>
      </c>
      <c r="D133">
        <f t="shared" si="42"/>
        <v>0</v>
      </c>
      <c r="E133">
        <v>0</v>
      </c>
      <c r="F133">
        <v>0</v>
      </c>
      <c r="G133">
        <f t="shared" si="43"/>
        <v>0</v>
      </c>
      <c r="H133">
        <v>0</v>
      </c>
      <c r="I133">
        <v>0</v>
      </c>
      <c r="J133">
        <f t="shared" si="44"/>
        <v>0</v>
      </c>
      <c r="K133">
        <v>0</v>
      </c>
      <c r="L133">
        <v>0</v>
      </c>
      <c r="M133">
        <f t="shared" si="45"/>
        <v>0</v>
      </c>
      <c r="N133">
        <v>0</v>
      </c>
      <c r="O133">
        <v>0</v>
      </c>
      <c r="P133">
        <f t="shared" si="46"/>
        <v>0</v>
      </c>
      <c r="Q133">
        <v>0</v>
      </c>
      <c r="R133">
        <v>0</v>
      </c>
      <c r="S133">
        <f t="shared" si="47"/>
        <v>0</v>
      </c>
    </row>
    <row r="134" spans="1:19" x14ac:dyDescent="0.25">
      <c r="A134" t="s">
        <v>132</v>
      </c>
      <c r="B134">
        <v>0</v>
      </c>
      <c r="C134">
        <v>1</v>
      </c>
      <c r="D134">
        <f t="shared" si="42"/>
        <v>1</v>
      </c>
      <c r="E134">
        <v>0</v>
      </c>
      <c r="F134">
        <v>1</v>
      </c>
      <c r="G134">
        <f t="shared" si="43"/>
        <v>1</v>
      </c>
      <c r="H134">
        <v>0</v>
      </c>
      <c r="I134">
        <v>0</v>
      </c>
      <c r="J134">
        <f t="shared" si="44"/>
        <v>0</v>
      </c>
      <c r="K134">
        <v>0</v>
      </c>
      <c r="L134">
        <v>0</v>
      </c>
      <c r="M134">
        <f t="shared" si="45"/>
        <v>0</v>
      </c>
      <c r="N134">
        <v>0</v>
      </c>
      <c r="O134">
        <v>0</v>
      </c>
      <c r="P134">
        <f t="shared" si="46"/>
        <v>0</v>
      </c>
      <c r="Q134">
        <v>0</v>
      </c>
      <c r="R134">
        <v>0</v>
      </c>
      <c r="S134">
        <f t="shared" si="47"/>
        <v>0</v>
      </c>
    </row>
    <row r="135" spans="1:19" x14ac:dyDescent="0.25">
      <c r="A135" t="s">
        <v>133</v>
      </c>
      <c r="B135">
        <v>1</v>
      </c>
      <c r="C135">
        <v>0</v>
      </c>
      <c r="D135">
        <f t="shared" si="42"/>
        <v>1</v>
      </c>
      <c r="E135">
        <v>0</v>
      </c>
      <c r="F135">
        <v>0</v>
      </c>
      <c r="G135">
        <f t="shared" si="43"/>
        <v>0</v>
      </c>
      <c r="H135">
        <v>1</v>
      </c>
      <c r="I135">
        <v>0</v>
      </c>
      <c r="J135">
        <f t="shared" si="44"/>
        <v>1</v>
      </c>
      <c r="K135">
        <v>0</v>
      </c>
      <c r="L135">
        <v>0</v>
      </c>
      <c r="M135">
        <f t="shared" si="45"/>
        <v>0</v>
      </c>
      <c r="N135">
        <v>0</v>
      </c>
      <c r="O135">
        <v>0</v>
      </c>
      <c r="P135">
        <f t="shared" si="46"/>
        <v>0</v>
      </c>
      <c r="Q135">
        <v>0</v>
      </c>
      <c r="R135">
        <v>0</v>
      </c>
      <c r="S135">
        <f t="shared" si="47"/>
        <v>0</v>
      </c>
    </row>
    <row r="136" spans="1:19" x14ac:dyDescent="0.25">
      <c r="A136" t="s">
        <v>134</v>
      </c>
      <c r="B136">
        <v>0</v>
      </c>
      <c r="C136">
        <v>3</v>
      </c>
      <c r="D136">
        <f t="shared" si="42"/>
        <v>3</v>
      </c>
      <c r="E136">
        <v>0</v>
      </c>
      <c r="F136">
        <v>3</v>
      </c>
      <c r="G136">
        <f t="shared" si="43"/>
        <v>3</v>
      </c>
      <c r="H136">
        <v>0</v>
      </c>
      <c r="I136">
        <v>0</v>
      </c>
      <c r="J136">
        <f t="shared" si="44"/>
        <v>0</v>
      </c>
      <c r="K136">
        <v>0</v>
      </c>
      <c r="L136">
        <v>0</v>
      </c>
      <c r="M136">
        <f t="shared" si="45"/>
        <v>0</v>
      </c>
      <c r="N136">
        <v>0</v>
      </c>
      <c r="O136">
        <v>0</v>
      </c>
      <c r="P136">
        <f t="shared" si="46"/>
        <v>0</v>
      </c>
      <c r="Q136">
        <v>0</v>
      </c>
      <c r="R136">
        <v>0</v>
      </c>
      <c r="S136">
        <f t="shared" si="47"/>
        <v>0</v>
      </c>
    </row>
    <row r="138" spans="1:19" x14ac:dyDescent="0.25">
      <c r="A138" s="8" t="s">
        <v>135</v>
      </c>
      <c r="B138" s="8" t="s">
        <v>135</v>
      </c>
      <c r="C138" s="8" t="s">
        <v>135</v>
      </c>
      <c r="D138" s="8" t="s">
        <v>135</v>
      </c>
      <c r="E138" s="8" t="s">
        <v>135</v>
      </c>
      <c r="F138" s="8" t="s">
        <v>135</v>
      </c>
      <c r="G138" s="8" t="s">
        <v>135</v>
      </c>
      <c r="H138" s="8" t="s">
        <v>135</v>
      </c>
      <c r="I138" s="8" t="s">
        <v>135</v>
      </c>
      <c r="J138" s="8" t="s">
        <v>135</v>
      </c>
      <c r="K138" s="8" t="s">
        <v>135</v>
      </c>
      <c r="L138" s="8" t="s">
        <v>135</v>
      </c>
      <c r="M138" s="8" t="s">
        <v>135</v>
      </c>
      <c r="N138" s="8" t="s">
        <v>135</v>
      </c>
      <c r="O138" s="8" t="s">
        <v>135</v>
      </c>
      <c r="P138" s="8" t="s">
        <v>135</v>
      </c>
      <c r="Q138" s="8" t="s">
        <v>135</v>
      </c>
      <c r="R138" s="8" t="s">
        <v>135</v>
      </c>
      <c r="S138" s="8" t="s">
        <v>135</v>
      </c>
    </row>
    <row r="139" spans="1:19" x14ac:dyDescent="0.25">
      <c r="A139" t="s">
        <v>136</v>
      </c>
      <c r="B139">
        <v>0</v>
      </c>
      <c r="C139">
        <v>0</v>
      </c>
      <c r="D139">
        <f t="shared" ref="D139:D175" si="48">B139+C139</f>
        <v>0</v>
      </c>
      <c r="E139">
        <v>0</v>
      </c>
      <c r="F139">
        <v>0</v>
      </c>
      <c r="G139">
        <f t="shared" ref="G139:G175" si="49">E139+F139</f>
        <v>0</v>
      </c>
      <c r="H139">
        <v>0</v>
      </c>
      <c r="I139">
        <v>0</v>
      </c>
      <c r="J139">
        <f t="shared" ref="J139:J175" si="50">H139+I139</f>
        <v>0</v>
      </c>
      <c r="K139">
        <v>0</v>
      </c>
      <c r="L139">
        <v>0</v>
      </c>
      <c r="M139">
        <f t="shared" ref="M139:M175" si="51">K139+L139</f>
        <v>0</v>
      </c>
      <c r="N139">
        <v>0</v>
      </c>
      <c r="O139">
        <v>0</v>
      </c>
      <c r="P139">
        <f t="shared" ref="P139:P175" si="52">N139+O139</f>
        <v>0</v>
      </c>
      <c r="Q139">
        <v>0</v>
      </c>
      <c r="R139">
        <v>0</v>
      </c>
      <c r="S139">
        <f t="shared" ref="S139:S175" si="53">Q139+R139</f>
        <v>0</v>
      </c>
    </row>
    <row r="140" spans="1:19" x14ac:dyDescent="0.25">
      <c r="A140" t="s">
        <v>137</v>
      </c>
      <c r="B140">
        <v>0</v>
      </c>
      <c r="C140">
        <v>0</v>
      </c>
      <c r="D140">
        <f t="shared" si="48"/>
        <v>0</v>
      </c>
      <c r="E140">
        <v>0</v>
      </c>
      <c r="F140">
        <v>0</v>
      </c>
      <c r="G140">
        <f t="shared" si="49"/>
        <v>0</v>
      </c>
      <c r="H140">
        <v>0</v>
      </c>
      <c r="I140">
        <v>0</v>
      </c>
      <c r="J140">
        <f t="shared" si="50"/>
        <v>0</v>
      </c>
      <c r="K140">
        <v>0</v>
      </c>
      <c r="L140">
        <v>0</v>
      </c>
      <c r="M140">
        <f t="shared" si="51"/>
        <v>0</v>
      </c>
      <c r="N140">
        <v>0</v>
      </c>
      <c r="O140">
        <v>0</v>
      </c>
      <c r="P140">
        <f t="shared" si="52"/>
        <v>0</v>
      </c>
      <c r="Q140">
        <v>0</v>
      </c>
      <c r="R140">
        <v>0</v>
      </c>
      <c r="S140">
        <f t="shared" si="53"/>
        <v>0</v>
      </c>
    </row>
    <row r="141" spans="1:19" x14ac:dyDescent="0.25">
      <c r="A141" t="s">
        <v>138</v>
      </c>
      <c r="B141">
        <v>0</v>
      </c>
      <c r="C141">
        <v>0</v>
      </c>
      <c r="D141">
        <f t="shared" si="48"/>
        <v>0</v>
      </c>
      <c r="E141">
        <v>0</v>
      </c>
      <c r="F141">
        <v>0</v>
      </c>
      <c r="G141">
        <f t="shared" si="49"/>
        <v>0</v>
      </c>
      <c r="H141">
        <v>0</v>
      </c>
      <c r="I141">
        <v>0</v>
      </c>
      <c r="J141">
        <f t="shared" si="50"/>
        <v>0</v>
      </c>
      <c r="K141">
        <v>0</v>
      </c>
      <c r="L141">
        <v>0</v>
      </c>
      <c r="M141">
        <f t="shared" si="51"/>
        <v>0</v>
      </c>
      <c r="N141">
        <v>0</v>
      </c>
      <c r="O141">
        <v>0</v>
      </c>
      <c r="P141">
        <f t="shared" si="52"/>
        <v>0</v>
      </c>
      <c r="Q141">
        <v>0</v>
      </c>
      <c r="R141">
        <v>0</v>
      </c>
      <c r="S141">
        <f t="shared" si="53"/>
        <v>0</v>
      </c>
    </row>
    <row r="142" spans="1:19" x14ac:dyDescent="0.25">
      <c r="A142" t="s">
        <v>139</v>
      </c>
      <c r="B142">
        <v>0</v>
      </c>
      <c r="C142">
        <v>0</v>
      </c>
      <c r="D142">
        <f t="shared" si="48"/>
        <v>0</v>
      </c>
      <c r="E142">
        <v>0</v>
      </c>
      <c r="F142">
        <v>0</v>
      </c>
      <c r="G142">
        <f t="shared" si="49"/>
        <v>0</v>
      </c>
      <c r="H142">
        <v>0</v>
      </c>
      <c r="I142">
        <v>0</v>
      </c>
      <c r="J142">
        <f t="shared" si="50"/>
        <v>0</v>
      </c>
      <c r="K142">
        <v>0</v>
      </c>
      <c r="L142">
        <v>0</v>
      </c>
      <c r="M142">
        <f t="shared" si="51"/>
        <v>0</v>
      </c>
      <c r="N142">
        <v>0</v>
      </c>
      <c r="O142">
        <v>0</v>
      </c>
      <c r="P142">
        <f t="shared" si="52"/>
        <v>0</v>
      </c>
      <c r="Q142">
        <v>0</v>
      </c>
      <c r="R142">
        <v>0</v>
      </c>
      <c r="S142">
        <f t="shared" si="53"/>
        <v>0</v>
      </c>
    </row>
    <row r="143" spans="1:19" x14ac:dyDescent="0.25">
      <c r="A143" t="s">
        <v>140</v>
      </c>
      <c r="B143">
        <v>0</v>
      </c>
      <c r="C143">
        <v>0</v>
      </c>
      <c r="D143">
        <f t="shared" si="48"/>
        <v>0</v>
      </c>
      <c r="E143">
        <v>0</v>
      </c>
      <c r="F143">
        <v>0</v>
      </c>
      <c r="G143">
        <f t="shared" si="49"/>
        <v>0</v>
      </c>
      <c r="H143">
        <v>0</v>
      </c>
      <c r="I143">
        <v>0</v>
      </c>
      <c r="J143">
        <f t="shared" si="50"/>
        <v>0</v>
      </c>
      <c r="K143">
        <v>0</v>
      </c>
      <c r="L143">
        <v>0</v>
      </c>
      <c r="M143">
        <f t="shared" si="51"/>
        <v>0</v>
      </c>
      <c r="N143">
        <v>0</v>
      </c>
      <c r="O143">
        <v>0</v>
      </c>
      <c r="P143">
        <f t="shared" si="52"/>
        <v>0</v>
      </c>
      <c r="Q143">
        <v>0</v>
      </c>
      <c r="R143">
        <v>0</v>
      </c>
      <c r="S143">
        <f t="shared" si="53"/>
        <v>0</v>
      </c>
    </row>
    <row r="144" spans="1:19" x14ac:dyDescent="0.25">
      <c r="A144" t="s">
        <v>141</v>
      </c>
      <c r="B144">
        <v>0</v>
      </c>
      <c r="C144">
        <v>0</v>
      </c>
      <c r="D144">
        <f t="shared" si="48"/>
        <v>0</v>
      </c>
      <c r="E144">
        <v>0</v>
      </c>
      <c r="F144">
        <v>0</v>
      </c>
      <c r="G144">
        <f t="shared" si="49"/>
        <v>0</v>
      </c>
      <c r="H144">
        <v>0</v>
      </c>
      <c r="I144">
        <v>0</v>
      </c>
      <c r="J144">
        <f t="shared" si="50"/>
        <v>0</v>
      </c>
      <c r="K144">
        <v>0</v>
      </c>
      <c r="L144">
        <v>0</v>
      </c>
      <c r="M144">
        <f t="shared" si="51"/>
        <v>0</v>
      </c>
      <c r="N144">
        <v>0</v>
      </c>
      <c r="O144">
        <v>0</v>
      </c>
      <c r="P144">
        <f t="shared" si="52"/>
        <v>0</v>
      </c>
      <c r="Q144">
        <v>0</v>
      </c>
      <c r="R144">
        <v>0</v>
      </c>
      <c r="S144">
        <f t="shared" si="53"/>
        <v>0</v>
      </c>
    </row>
    <row r="145" spans="1:19" x14ac:dyDescent="0.25">
      <c r="A145" t="s">
        <v>142</v>
      </c>
      <c r="B145">
        <v>0</v>
      </c>
      <c r="C145">
        <v>0</v>
      </c>
      <c r="D145">
        <f t="shared" si="48"/>
        <v>0</v>
      </c>
      <c r="E145">
        <v>0</v>
      </c>
      <c r="F145">
        <v>0</v>
      </c>
      <c r="G145">
        <f t="shared" si="49"/>
        <v>0</v>
      </c>
      <c r="H145">
        <v>0</v>
      </c>
      <c r="I145">
        <v>0</v>
      </c>
      <c r="J145">
        <f t="shared" si="50"/>
        <v>0</v>
      </c>
      <c r="K145">
        <v>0</v>
      </c>
      <c r="L145">
        <v>0</v>
      </c>
      <c r="M145">
        <f t="shared" si="51"/>
        <v>0</v>
      </c>
      <c r="N145">
        <v>0</v>
      </c>
      <c r="O145">
        <v>0</v>
      </c>
      <c r="P145">
        <f t="shared" si="52"/>
        <v>0</v>
      </c>
      <c r="Q145">
        <v>0</v>
      </c>
      <c r="R145">
        <v>0</v>
      </c>
      <c r="S145">
        <f t="shared" si="53"/>
        <v>0</v>
      </c>
    </row>
    <row r="146" spans="1:19" x14ac:dyDescent="0.25">
      <c r="A146" t="s">
        <v>143</v>
      </c>
      <c r="B146">
        <v>57</v>
      </c>
      <c r="C146">
        <v>10</v>
      </c>
      <c r="D146">
        <f t="shared" si="48"/>
        <v>67</v>
      </c>
      <c r="E146">
        <v>57</v>
      </c>
      <c r="F146">
        <v>10</v>
      </c>
      <c r="G146">
        <f t="shared" si="49"/>
        <v>67</v>
      </c>
      <c r="H146">
        <v>0</v>
      </c>
      <c r="I146">
        <v>0</v>
      </c>
      <c r="J146">
        <f t="shared" si="50"/>
        <v>0</v>
      </c>
      <c r="K146">
        <v>0</v>
      </c>
      <c r="L146">
        <v>0</v>
      </c>
      <c r="M146">
        <f t="shared" si="51"/>
        <v>0</v>
      </c>
      <c r="N146">
        <v>0</v>
      </c>
      <c r="O146">
        <v>0</v>
      </c>
      <c r="P146">
        <f t="shared" si="52"/>
        <v>0</v>
      </c>
      <c r="Q146">
        <v>0</v>
      </c>
      <c r="R146">
        <v>0</v>
      </c>
      <c r="S146">
        <f t="shared" si="53"/>
        <v>0</v>
      </c>
    </row>
    <row r="147" spans="1:19" x14ac:dyDescent="0.25">
      <c r="A147" t="s">
        <v>144</v>
      </c>
      <c r="B147">
        <v>0</v>
      </c>
      <c r="C147">
        <v>1</v>
      </c>
      <c r="D147">
        <f t="shared" si="48"/>
        <v>1</v>
      </c>
      <c r="E147">
        <v>0</v>
      </c>
      <c r="F147">
        <v>1</v>
      </c>
      <c r="G147">
        <f t="shared" si="49"/>
        <v>1</v>
      </c>
      <c r="H147">
        <v>0</v>
      </c>
      <c r="I147">
        <v>0</v>
      </c>
      <c r="J147">
        <f t="shared" si="50"/>
        <v>0</v>
      </c>
      <c r="K147">
        <v>0</v>
      </c>
      <c r="L147">
        <v>0</v>
      </c>
      <c r="M147">
        <f t="shared" si="51"/>
        <v>0</v>
      </c>
      <c r="N147">
        <v>0</v>
      </c>
      <c r="O147">
        <v>0</v>
      </c>
      <c r="P147">
        <f t="shared" si="52"/>
        <v>0</v>
      </c>
      <c r="Q147">
        <v>0</v>
      </c>
      <c r="R147">
        <v>0</v>
      </c>
      <c r="S147">
        <f t="shared" si="53"/>
        <v>0</v>
      </c>
    </row>
    <row r="148" spans="1:19" x14ac:dyDescent="0.25">
      <c r="A148" t="s">
        <v>145</v>
      </c>
      <c r="B148">
        <v>0</v>
      </c>
      <c r="C148">
        <v>0</v>
      </c>
      <c r="D148">
        <f t="shared" si="48"/>
        <v>0</v>
      </c>
      <c r="E148">
        <v>0</v>
      </c>
      <c r="F148">
        <v>0</v>
      </c>
      <c r="G148">
        <f t="shared" si="49"/>
        <v>0</v>
      </c>
      <c r="H148">
        <v>0</v>
      </c>
      <c r="I148">
        <v>0</v>
      </c>
      <c r="J148">
        <f t="shared" si="50"/>
        <v>0</v>
      </c>
      <c r="K148">
        <v>0</v>
      </c>
      <c r="L148">
        <v>0</v>
      </c>
      <c r="M148">
        <f t="shared" si="51"/>
        <v>0</v>
      </c>
      <c r="N148">
        <v>0</v>
      </c>
      <c r="O148">
        <v>0</v>
      </c>
      <c r="P148">
        <f t="shared" si="52"/>
        <v>0</v>
      </c>
      <c r="Q148">
        <v>0</v>
      </c>
      <c r="R148">
        <v>0</v>
      </c>
      <c r="S148">
        <f t="shared" si="53"/>
        <v>0</v>
      </c>
    </row>
    <row r="149" spans="1:19" x14ac:dyDescent="0.25">
      <c r="A149" t="s">
        <v>146</v>
      </c>
      <c r="B149">
        <v>0</v>
      </c>
      <c r="C149">
        <v>0</v>
      </c>
      <c r="D149">
        <f t="shared" si="48"/>
        <v>0</v>
      </c>
      <c r="E149">
        <v>0</v>
      </c>
      <c r="F149">
        <v>0</v>
      </c>
      <c r="G149">
        <f t="shared" si="49"/>
        <v>0</v>
      </c>
      <c r="H149">
        <v>0</v>
      </c>
      <c r="I149">
        <v>0</v>
      </c>
      <c r="J149">
        <f t="shared" si="50"/>
        <v>0</v>
      </c>
      <c r="K149">
        <v>0</v>
      </c>
      <c r="L149">
        <v>0</v>
      </c>
      <c r="M149">
        <f t="shared" si="51"/>
        <v>0</v>
      </c>
      <c r="N149">
        <v>0</v>
      </c>
      <c r="O149">
        <v>0</v>
      </c>
      <c r="P149">
        <f t="shared" si="52"/>
        <v>0</v>
      </c>
      <c r="Q149">
        <v>0</v>
      </c>
      <c r="R149">
        <v>0</v>
      </c>
      <c r="S149">
        <f t="shared" si="53"/>
        <v>0</v>
      </c>
    </row>
    <row r="150" spans="1:19" x14ac:dyDescent="0.25">
      <c r="A150" t="s">
        <v>147</v>
      </c>
      <c r="B150">
        <v>0</v>
      </c>
      <c r="C150">
        <v>0</v>
      </c>
      <c r="D150">
        <f t="shared" si="48"/>
        <v>0</v>
      </c>
      <c r="E150">
        <v>0</v>
      </c>
      <c r="F150">
        <v>0</v>
      </c>
      <c r="G150">
        <f t="shared" si="49"/>
        <v>0</v>
      </c>
      <c r="H150">
        <v>0</v>
      </c>
      <c r="I150">
        <v>0</v>
      </c>
      <c r="J150">
        <f t="shared" si="50"/>
        <v>0</v>
      </c>
      <c r="K150">
        <v>0</v>
      </c>
      <c r="L150">
        <v>0</v>
      </c>
      <c r="M150">
        <f t="shared" si="51"/>
        <v>0</v>
      </c>
      <c r="N150">
        <v>0</v>
      </c>
      <c r="O150">
        <v>0</v>
      </c>
      <c r="P150">
        <f t="shared" si="52"/>
        <v>0</v>
      </c>
      <c r="Q150">
        <v>0</v>
      </c>
      <c r="R150">
        <v>0</v>
      </c>
      <c r="S150">
        <f t="shared" si="53"/>
        <v>0</v>
      </c>
    </row>
    <row r="151" spans="1:19" x14ac:dyDescent="0.25">
      <c r="A151" t="s">
        <v>148</v>
      </c>
      <c r="B151">
        <v>0</v>
      </c>
      <c r="C151">
        <v>0</v>
      </c>
      <c r="D151">
        <f t="shared" si="48"/>
        <v>0</v>
      </c>
      <c r="E151">
        <v>0</v>
      </c>
      <c r="F151">
        <v>0</v>
      </c>
      <c r="G151">
        <f t="shared" si="49"/>
        <v>0</v>
      </c>
      <c r="H151">
        <v>0</v>
      </c>
      <c r="I151">
        <v>0</v>
      </c>
      <c r="J151">
        <f t="shared" si="50"/>
        <v>0</v>
      </c>
      <c r="K151">
        <v>0</v>
      </c>
      <c r="L151">
        <v>0</v>
      </c>
      <c r="M151">
        <f t="shared" si="51"/>
        <v>0</v>
      </c>
      <c r="N151">
        <v>0</v>
      </c>
      <c r="O151">
        <v>0</v>
      </c>
      <c r="P151">
        <f t="shared" si="52"/>
        <v>0</v>
      </c>
      <c r="Q151">
        <v>0</v>
      </c>
      <c r="R151">
        <v>0</v>
      </c>
      <c r="S151">
        <f t="shared" si="53"/>
        <v>0</v>
      </c>
    </row>
    <row r="152" spans="1:19" x14ac:dyDescent="0.25">
      <c r="A152" t="s">
        <v>149</v>
      </c>
      <c r="B152">
        <v>0</v>
      </c>
      <c r="C152">
        <v>0</v>
      </c>
      <c r="D152">
        <f t="shared" si="48"/>
        <v>0</v>
      </c>
      <c r="E152">
        <v>0</v>
      </c>
      <c r="F152">
        <v>0</v>
      </c>
      <c r="G152">
        <f t="shared" si="49"/>
        <v>0</v>
      </c>
      <c r="H152">
        <v>0</v>
      </c>
      <c r="I152">
        <v>0</v>
      </c>
      <c r="J152">
        <f t="shared" si="50"/>
        <v>0</v>
      </c>
      <c r="K152">
        <v>0</v>
      </c>
      <c r="L152">
        <v>0</v>
      </c>
      <c r="M152">
        <f t="shared" si="51"/>
        <v>0</v>
      </c>
      <c r="N152">
        <v>0</v>
      </c>
      <c r="O152">
        <v>0</v>
      </c>
      <c r="P152">
        <f t="shared" si="52"/>
        <v>0</v>
      </c>
      <c r="Q152">
        <v>0</v>
      </c>
      <c r="R152">
        <v>0</v>
      </c>
      <c r="S152">
        <f t="shared" si="53"/>
        <v>0</v>
      </c>
    </row>
    <row r="153" spans="1:19" x14ac:dyDescent="0.25">
      <c r="A153" t="s">
        <v>150</v>
      </c>
      <c r="B153">
        <v>0</v>
      </c>
      <c r="C153">
        <v>0</v>
      </c>
      <c r="D153">
        <f t="shared" si="48"/>
        <v>0</v>
      </c>
      <c r="E153">
        <v>0</v>
      </c>
      <c r="F153">
        <v>0</v>
      </c>
      <c r="G153">
        <f t="shared" si="49"/>
        <v>0</v>
      </c>
      <c r="H153">
        <v>0</v>
      </c>
      <c r="I153">
        <v>0</v>
      </c>
      <c r="J153">
        <f t="shared" si="50"/>
        <v>0</v>
      </c>
      <c r="K153">
        <v>0</v>
      </c>
      <c r="L153">
        <v>0</v>
      </c>
      <c r="M153">
        <f t="shared" si="51"/>
        <v>0</v>
      </c>
      <c r="N153">
        <v>0</v>
      </c>
      <c r="O153">
        <v>0</v>
      </c>
      <c r="P153">
        <f t="shared" si="52"/>
        <v>0</v>
      </c>
      <c r="Q153">
        <v>0</v>
      </c>
      <c r="R153">
        <v>0</v>
      </c>
      <c r="S153">
        <f t="shared" si="53"/>
        <v>0</v>
      </c>
    </row>
    <row r="154" spans="1:19" x14ac:dyDescent="0.25">
      <c r="A154" t="s">
        <v>151</v>
      </c>
      <c r="B154">
        <v>28</v>
      </c>
      <c r="C154">
        <v>1</v>
      </c>
      <c r="D154">
        <f t="shared" si="48"/>
        <v>29</v>
      </c>
      <c r="E154">
        <v>27</v>
      </c>
      <c r="F154">
        <v>1</v>
      </c>
      <c r="G154">
        <f t="shared" si="49"/>
        <v>28</v>
      </c>
      <c r="H154">
        <v>0</v>
      </c>
      <c r="I154">
        <v>0</v>
      </c>
      <c r="J154">
        <f t="shared" si="50"/>
        <v>0</v>
      </c>
      <c r="K154">
        <v>0</v>
      </c>
      <c r="L154">
        <v>0</v>
      </c>
      <c r="M154">
        <f t="shared" si="51"/>
        <v>0</v>
      </c>
      <c r="N154">
        <v>0</v>
      </c>
      <c r="O154">
        <v>0</v>
      </c>
      <c r="P154">
        <f t="shared" si="52"/>
        <v>0</v>
      </c>
      <c r="Q154">
        <v>1</v>
      </c>
      <c r="R154">
        <v>0</v>
      </c>
      <c r="S154">
        <f t="shared" si="53"/>
        <v>1</v>
      </c>
    </row>
    <row r="155" spans="1:19" x14ac:dyDescent="0.25">
      <c r="A155" t="s">
        <v>152</v>
      </c>
      <c r="B155">
        <v>0</v>
      </c>
      <c r="C155">
        <v>1</v>
      </c>
      <c r="D155">
        <f t="shared" si="48"/>
        <v>1</v>
      </c>
      <c r="E155">
        <v>0</v>
      </c>
      <c r="F155">
        <v>1</v>
      </c>
      <c r="G155">
        <f t="shared" si="49"/>
        <v>1</v>
      </c>
      <c r="H155">
        <v>0</v>
      </c>
      <c r="I155">
        <v>0</v>
      </c>
      <c r="J155">
        <f t="shared" si="50"/>
        <v>0</v>
      </c>
      <c r="K155">
        <v>0</v>
      </c>
      <c r="L155">
        <v>0</v>
      </c>
      <c r="M155">
        <f t="shared" si="51"/>
        <v>0</v>
      </c>
      <c r="N155">
        <v>0</v>
      </c>
      <c r="O155">
        <v>0</v>
      </c>
      <c r="P155">
        <f t="shared" si="52"/>
        <v>0</v>
      </c>
      <c r="Q155">
        <v>0</v>
      </c>
      <c r="R155">
        <v>0</v>
      </c>
      <c r="S155">
        <f t="shared" si="53"/>
        <v>0</v>
      </c>
    </row>
    <row r="156" spans="1:19" x14ac:dyDescent="0.25">
      <c r="A156" t="s">
        <v>153</v>
      </c>
      <c r="B156">
        <v>0</v>
      </c>
      <c r="C156">
        <v>9</v>
      </c>
      <c r="D156">
        <f t="shared" si="48"/>
        <v>9</v>
      </c>
      <c r="E156">
        <v>0</v>
      </c>
      <c r="F156">
        <v>8</v>
      </c>
      <c r="G156">
        <f t="shared" si="49"/>
        <v>8</v>
      </c>
      <c r="H156">
        <v>0</v>
      </c>
      <c r="I156">
        <v>1</v>
      </c>
      <c r="J156">
        <f t="shared" si="50"/>
        <v>1</v>
      </c>
      <c r="K156">
        <v>0</v>
      </c>
      <c r="L156">
        <v>0</v>
      </c>
      <c r="M156">
        <f t="shared" si="51"/>
        <v>0</v>
      </c>
      <c r="N156">
        <v>0</v>
      </c>
      <c r="O156">
        <v>0</v>
      </c>
      <c r="P156">
        <f t="shared" si="52"/>
        <v>0</v>
      </c>
      <c r="Q156">
        <v>0</v>
      </c>
      <c r="R156">
        <v>0</v>
      </c>
      <c r="S156">
        <f t="shared" si="53"/>
        <v>0</v>
      </c>
    </row>
    <row r="157" spans="1:19" x14ac:dyDescent="0.25">
      <c r="A157" t="s">
        <v>154</v>
      </c>
      <c r="B157">
        <v>0</v>
      </c>
      <c r="C157">
        <v>1</v>
      </c>
      <c r="D157">
        <f t="shared" si="48"/>
        <v>1</v>
      </c>
      <c r="E157">
        <v>0</v>
      </c>
      <c r="F157">
        <v>1</v>
      </c>
      <c r="G157">
        <f t="shared" si="49"/>
        <v>1</v>
      </c>
      <c r="H157">
        <v>0</v>
      </c>
      <c r="I157">
        <v>0</v>
      </c>
      <c r="J157">
        <f t="shared" si="50"/>
        <v>0</v>
      </c>
      <c r="K157">
        <v>0</v>
      </c>
      <c r="L157">
        <v>0</v>
      </c>
      <c r="M157">
        <f t="shared" si="51"/>
        <v>0</v>
      </c>
      <c r="N157">
        <v>0</v>
      </c>
      <c r="O157">
        <v>0</v>
      </c>
      <c r="P157">
        <f t="shared" si="52"/>
        <v>0</v>
      </c>
      <c r="Q157">
        <v>0</v>
      </c>
      <c r="R157">
        <v>0</v>
      </c>
      <c r="S157">
        <f t="shared" si="53"/>
        <v>0</v>
      </c>
    </row>
    <row r="158" spans="1:19" x14ac:dyDescent="0.25">
      <c r="A158" t="s">
        <v>155</v>
      </c>
      <c r="B158">
        <v>0</v>
      </c>
      <c r="C158">
        <v>0</v>
      </c>
      <c r="D158">
        <f t="shared" si="48"/>
        <v>0</v>
      </c>
      <c r="E158">
        <v>0</v>
      </c>
      <c r="F158">
        <v>0</v>
      </c>
      <c r="G158">
        <f t="shared" si="49"/>
        <v>0</v>
      </c>
      <c r="H158">
        <v>0</v>
      </c>
      <c r="I158">
        <v>0</v>
      </c>
      <c r="J158">
        <f t="shared" si="50"/>
        <v>0</v>
      </c>
      <c r="K158">
        <v>0</v>
      </c>
      <c r="L158">
        <v>0</v>
      </c>
      <c r="M158">
        <f t="shared" si="51"/>
        <v>0</v>
      </c>
      <c r="N158">
        <v>0</v>
      </c>
      <c r="O158">
        <v>0</v>
      </c>
      <c r="P158">
        <f t="shared" si="52"/>
        <v>0</v>
      </c>
      <c r="Q158">
        <v>0</v>
      </c>
      <c r="R158">
        <v>0</v>
      </c>
      <c r="S158">
        <f t="shared" si="53"/>
        <v>0</v>
      </c>
    </row>
    <row r="159" spans="1:19" x14ac:dyDescent="0.25">
      <c r="A159" t="s">
        <v>156</v>
      </c>
      <c r="B159">
        <v>145</v>
      </c>
      <c r="C159">
        <v>428</v>
      </c>
      <c r="D159">
        <f t="shared" si="48"/>
        <v>573</v>
      </c>
      <c r="E159">
        <v>145</v>
      </c>
      <c r="F159">
        <v>425</v>
      </c>
      <c r="G159">
        <f t="shared" si="49"/>
        <v>570</v>
      </c>
      <c r="H159">
        <v>0</v>
      </c>
      <c r="I159">
        <v>3</v>
      </c>
      <c r="J159">
        <f t="shared" si="50"/>
        <v>3</v>
      </c>
      <c r="K159">
        <v>0</v>
      </c>
      <c r="L159">
        <v>0</v>
      </c>
      <c r="M159">
        <f t="shared" si="51"/>
        <v>0</v>
      </c>
      <c r="N159">
        <v>0</v>
      </c>
      <c r="O159">
        <v>0</v>
      </c>
      <c r="P159">
        <f t="shared" si="52"/>
        <v>0</v>
      </c>
      <c r="Q159">
        <v>0</v>
      </c>
      <c r="R159">
        <v>0</v>
      </c>
      <c r="S159">
        <f t="shared" si="53"/>
        <v>0</v>
      </c>
    </row>
    <row r="160" spans="1:19" x14ac:dyDescent="0.25">
      <c r="A160" t="s">
        <v>157</v>
      </c>
      <c r="B160">
        <v>0</v>
      </c>
      <c r="C160">
        <v>2</v>
      </c>
      <c r="D160">
        <f t="shared" si="48"/>
        <v>2</v>
      </c>
      <c r="E160">
        <v>0</v>
      </c>
      <c r="F160">
        <v>2</v>
      </c>
      <c r="G160">
        <f t="shared" si="49"/>
        <v>2</v>
      </c>
      <c r="H160">
        <v>0</v>
      </c>
      <c r="I160">
        <v>0</v>
      </c>
      <c r="J160">
        <f t="shared" si="50"/>
        <v>0</v>
      </c>
      <c r="K160">
        <v>0</v>
      </c>
      <c r="L160">
        <v>0</v>
      </c>
      <c r="M160">
        <f t="shared" si="51"/>
        <v>0</v>
      </c>
      <c r="N160">
        <v>0</v>
      </c>
      <c r="O160">
        <v>0</v>
      </c>
      <c r="P160">
        <f t="shared" si="52"/>
        <v>0</v>
      </c>
      <c r="Q160">
        <v>0</v>
      </c>
      <c r="R160">
        <v>0</v>
      </c>
      <c r="S160">
        <f t="shared" si="53"/>
        <v>0</v>
      </c>
    </row>
    <row r="161" spans="1:19" x14ac:dyDescent="0.25">
      <c r="A161" t="s">
        <v>158</v>
      </c>
      <c r="B161">
        <v>0</v>
      </c>
      <c r="C161">
        <v>0</v>
      </c>
      <c r="D161">
        <f t="shared" si="48"/>
        <v>0</v>
      </c>
      <c r="E161">
        <v>0</v>
      </c>
      <c r="F161">
        <v>0</v>
      </c>
      <c r="G161">
        <f t="shared" si="49"/>
        <v>0</v>
      </c>
      <c r="H161">
        <v>0</v>
      </c>
      <c r="I161">
        <v>0</v>
      </c>
      <c r="J161">
        <f t="shared" si="50"/>
        <v>0</v>
      </c>
      <c r="K161">
        <v>0</v>
      </c>
      <c r="L161">
        <v>0</v>
      </c>
      <c r="M161">
        <f t="shared" si="51"/>
        <v>0</v>
      </c>
      <c r="N161">
        <v>0</v>
      </c>
      <c r="O161">
        <v>0</v>
      </c>
      <c r="P161">
        <f t="shared" si="52"/>
        <v>0</v>
      </c>
      <c r="Q161">
        <v>0</v>
      </c>
      <c r="R161">
        <v>0</v>
      </c>
      <c r="S161">
        <f t="shared" si="53"/>
        <v>0</v>
      </c>
    </row>
    <row r="162" spans="1:19" x14ac:dyDescent="0.25">
      <c r="A162" t="s">
        <v>159</v>
      </c>
      <c r="B162">
        <v>0</v>
      </c>
      <c r="C162">
        <v>6</v>
      </c>
      <c r="D162">
        <f t="shared" si="48"/>
        <v>6</v>
      </c>
      <c r="E162">
        <v>0</v>
      </c>
      <c r="F162">
        <v>5</v>
      </c>
      <c r="G162">
        <f t="shared" si="49"/>
        <v>5</v>
      </c>
      <c r="H162">
        <v>0</v>
      </c>
      <c r="I162">
        <v>1</v>
      </c>
      <c r="J162">
        <f t="shared" si="50"/>
        <v>1</v>
      </c>
      <c r="K162">
        <v>0</v>
      </c>
      <c r="L162">
        <v>0</v>
      </c>
      <c r="M162">
        <f t="shared" si="51"/>
        <v>0</v>
      </c>
      <c r="N162">
        <v>0</v>
      </c>
      <c r="O162">
        <v>0</v>
      </c>
      <c r="P162">
        <f t="shared" si="52"/>
        <v>0</v>
      </c>
      <c r="Q162">
        <v>0</v>
      </c>
      <c r="R162">
        <v>0</v>
      </c>
      <c r="S162">
        <f t="shared" si="53"/>
        <v>0</v>
      </c>
    </row>
    <row r="163" spans="1:19" x14ac:dyDescent="0.25">
      <c r="A163" t="s">
        <v>160</v>
      </c>
      <c r="B163">
        <v>0</v>
      </c>
      <c r="C163">
        <v>0</v>
      </c>
      <c r="D163">
        <f t="shared" si="48"/>
        <v>0</v>
      </c>
      <c r="E163">
        <v>0</v>
      </c>
      <c r="F163">
        <v>0</v>
      </c>
      <c r="G163">
        <f t="shared" si="49"/>
        <v>0</v>
      </c>
      <c r="H163">
        <v>0</v>
      </c>
      <c r="I163">
        <v>0</v>
      </c>
      <c r="J163">
        <f t="shared" si="50"/>
        <v>0</v>
      </c>
      <c r="K163">
        <v>0</v>
      </c>
      <c r="L163">
        <v>0</v>
      </c>
      <c r="M163">
        <f t="shared" si="51"/>
        <v>0</v>
      </c>
      <c r="N163">
        <v>0</v>
      </c>
      <c r="O163">
        <v>0</v>
      </c>
      <c r="P163">
        <f t="shared" si="52"/>
        <v>0</v>
      </c>
      <c r="Q163">
        <v>0</v>
      </c>
      <c r="R163">
        <v>0</v>
      </c>
      <c r="S163">
        <f t="shared" si="53"/>
        <v>0</v>
      </c>
    </row>
    <row r="164" spans="1:19" x14ac:dyDescent="0.25">
      <c r="A164" t="s">
        <v>161</v>
      </c>
      <c r="B164">
        <v>1</v>
      </c>
      <c r="C164">
        <v>2</v>
      </c>
      <c r="D164">
        <f t="shared" si="48"/>
        <v>3</v>
      </c>
      <c r="E164">
        <v>1</v>
      </c>
      <c r="F164">
        <v>2</v>
      </c>
      <c r="G164">
        <f t="shared" si="49"/>
        <v>3</v>
      </c>
      <c r="H164">
        <v>0</v>
      </c>
      <c r="I164">
        <v>0</v>
      </c>
      <c r="J164">
        <f t="shared" si="50"/>
        <v>0</v>
      </c>
      <c r="K164">
        <v>0</v>
      </c>
      <c r="L164">
        <v>0</v>
      </c>
      <c r="M164">
        <f t="shared" si="51"/>
        <v>0</v>
      </c>
      <c r="N164">
        <v>0</v>
      </c>
      <c r="O164">
        <v>0</v>
      </c>
      <c r="P164">
        <f t="shared" si="52"/>
        <v>0</v>
      </c>
      <c r="Q164">
        <v>0</v>
      </c>
      <c r="R164">
        <v>0</v>
      </c>
      <c r="S164">
        <f t="shared" si="53"/>
        <v>0</v>
      </c>
    </row>
    <row r="165" spans="1:19" x14ac:dyDescent="0.25">
      <c r="A165" t="s">
        <v>162</v>
      </c>
      <c r="B165">
        <v>0</v>
      </c>
      <c r="C165">
        <v>8</v>
      </c>
      <c r="D165">
        <f t="shared" si="48"/>
        <v>8</v>
      </c>
      <c r="E165">
        <v>0</v>
      </c>
      <c r="F165">
        <v>8</v>
      </c>
      <c r="G165">
        <f t="shared" si="49"/>
        <v>8</v>
      </c>
      <c r="H165">
        <v>0</v>
      </c>
      <c r="I165">
        <v>0</v>
      </c>
      <c r="J165">
        <f t="shared" si="50"/>
        <v>0</v>
      </c>
      <c r="K165">
        <v>0</v>
      </c>
      <c r="L165">
        <v>0</v>
      </c>
      <c r="M165">
        <f t="shared" si="51"/>
        <v>0</v>
      </c>
      <c r="N165">
        <v>0</v>
      </c>
      <c r="O165">
        <v>0</v>
      </c>
      <c r="P165">
        <f t="shared" si="52"/>
        <v>0</v>
      </c>
      <c r="Q165">
        <v>0</v>
      </c>
      <c r="R165">
        <v>0</v>
      </c>
      <c r="S165">
        <f t="shared" si="53"/>
        <v>0</v>
      </c>
    </row>
    <row r="166" spans="1:19" x14ac:dyDescent="0.25">
      <c r="A166" t="s">
        <v>163</v>
      </c>
      <c r="B166">
        <v>2</v>
      </c>
      <c r="C166">
        <v>16</v>
      </c>
      <c r="D166">
        <f t="shared" si="48"/>
        <v>18</v>
      </c>
      <c r="E166">
        <v>2</v>
      </c>
      <c r="F166">
        <v>16</v>
      </c>
      <c r="G166">
        <f t="shared" si="49"/>
        <v>18</v>
      </c>
      <c r="H166">
        <v>0</v>
      </c>
      <c r="I166">
        <v>0</v>
      </c>
      <c r="J166">
        <f t="shared" si="50"/>
        <v>0</v>
      </c>
      <c r="K166">
        <v>0</v>
      </c>
      <c r="L166">
        <v>0</v>
      </c>
      <c r="M166">
        <f t="shared" si="51"/>
        <v>0</v>
      </c>
      <c r="N166">
        <v>0</v>
      </c>
      <c r="O166">
        <v>0</v>
      </c>
      <c r="P166">
        <f t="shared" si="52"/>
        <v>0</v>
      </c>
      <c r="Q166">
        <v>0</v>
      </c>
      <c r="R166">
        <v>0</v>
      </c>
      <c r="S166">
        <f t="shared" si="53"/>
        <v>0</v>
      </c>
    </row>
    <row r="167" spans="1:19" x14ac:dyDescent="0.25">
      <c r="A167" t="s">
        <v>164</v>
      </c>
      <c r="B167">
        <v>1</v>
      </c>
      <c r="C167">
        <v>6</v>
      </c>
      <c r="D167">
        <f t="shared" si="48"/>
        <v>7</v>
      </c>
      <c r="E167">
        <v>1</v>
      </c>
      <c r="F167">
        <v>6</v>
      </c>
      <c r="G167">
        <f t="shared" si="49"/>
        <v>7</v>
      </c>
      <c r="H167">
        <v>0</v>
      </c>
      <c r="I167">
        <v>0</v>
      </c>
      <c r="J167">
        <f t="shared" si="50"/>
        <v>0</v>
      </c>
      <c r="K167">
        <v>0</v>
      </c>
      <c r="L167">
        <v>0</v>
      </c>
      <c r="M167">
        <f t="shared" si="51"/>
        <v>0</v>
      </c>
      <c r="N167">
        <v>0</v>
      </c>
      <c r="O167">
        <v>0</v>
      </c>
      <c r="P167">
        <f t="shared" si="52"/>
        <v>0</v>
      </c>
      <c r="Q167">
        <v>0</v>
      </c>
      <c r="R167">
        <v>0</v>
      </c>
      <c r="S167">
        <f t="shared" si="53"/>
        <v>0</v>
      </c>
    </row>
    <row r="168" spans="1:19" x14ac:dyDescent="0.25">
      <c r="A168" t="s">
        <v>165</v>
      </c>
      <c r="B168">
        <v>0</v>
      </c>
      <c r="C168">
        <v>0</v>
      </c>
      <c r="D168">
        <f t="shared" si="48"/>
        <v>0</v>
      </c>
      <c r="E168">
        <v>0</v>
      </c>
      <c r="F168">
        <v>0</v>
      </c>
      <c r="G168">
        <f t="shared" si="49"/>
        <v>0</v>
      </c>
      <c r="H168">
        <v>0</v>
      </c>
      <c r="I168">
        <v>0</v>
      </c>
      <c r="J168">
        <f t="shared" si="50"/>
        <v>0</v>
      </c>
      <c r="K168">
        <v>0</v>
      </c>
      <c r="L168">
        <v>0</v>
      </c>
      <c r="M168">
        <f t="shared" si="51"/>
        <v>0</v>
      </c>
      <c r="N168">
        <v>0</v>
      </c>
      <c r="O168">
        <v>0</v>
      </c>
      <c r="P168">
        <f t="shared" si="52"/>
        <v>0</v>
      </c>
      <c r="Q168">
        <v>0</v>
      </c>
      <c r="R168">
        <v>0</v>
      </c>
      <c r="S168">
        <f t="shared" si="53"/>
        <v>0</v>
      </c>
    </row>
    <row r="169" spans="1:19" x14ac:dyDescent="0.25">
      <c r="A169" t="s">
        <v>166</v>
      </c>
      <c r="B169">
        <v>1</v>
      </c>
      <c r="C169">
        <v>8</v>
      </c>
      <c r="D169">
        <f t="shared" si="48"/>
        <v>9</v>
      </c>
      <c r="E169">
        <v>1</v>
      </c>
      <c r="F169">
        <v>7</v>
      </c>
      <c r="G169">
        <f t="shared" si="49"/>
        <v>8</v>
      </c>
      <c r="H169">
        <v>0</v>
      </c>
      <c r="I169">
        <v>1</v>
      </c>
      <c r="J169">
        <f t="shared" si="50"/>
        <v>1</v>
      </c>
      <c r="K169">
        <v>0</v>
      </c>
      <c r="L169">
        <v>0</v>
      </c>
      <c r="M169">
        <f t="shared" si="51"/>
        <v>0</v>
      </c>
      <c r="N169">
        <v>0</v>
      </c>
      <c r="O169">
        <v>0</v>
      </c>
      <c r="P169">
        <f t="shared" si="52"/>
        <v>0</v>
      </c>
      <c r="Q169">
        <v>0</v>
      </c>
      <c r="R169">
        <v>0</v>
      </c>
      <c r="S169">
        <f t="shared" si="53"/>
        <v>0</v>
      </c>
    </row>
    <row r="170" spans="1:19" x14ac:dyDescent="0.25">
      <c r="A170" t="s">
        <v>167</v>
      </c>
      <c r="B170">
        <v>0</v>
      </c>
      <c r="C170">
        <v>0</v>
      </c>
      <c r="D170">
        <f t="shared" si="48"/>
        <v>0</v>
      </c>
      <c r="E170">
        <v>0</v>
      </c>
      <c r="F170">
        <v>0</v>
      </c>
      <c r="G170">
        <f t="shared" si="49"/>
        <v>0</v>
      </c>
      <c r="H170">
        <v>0</v>
      </c>
      <c r="I170">
        <v>0</v>
      </c>
      <c r="J170">
        <f t="shared" si="50"/>
        <v>0</v>
      </c>
      <c r="K170">
        <v>0</v>
      </c>
      <c r="L170">
        <v>0</v>
      </c>
      <c r="M170">
        <f t="shared" si="51"/>
        <v>0</v>
      </c>
      <c r="N170">
        <v>0</v>
      </c>
      <c r="O170">
        <v>0</v>
      </c>
      <c r="P170">
        <f t="shared" si="52"/>
        <v>0</v>
      </c>
      <c r="Q170">
        <v>0</v>
      </c>
      <c r="R170">
        <v>0</v>
      </c>
      <c r="S170">
        <f t="shared" si="53"/>
        <v>0</v>
      </c>
    </row>
    <row r="171" spans="1:19" x14ac:dyDescent="0.25">
      <c r="A171" t="s">
        <v>168</v>
      </c>
      <c r="B171">
        <v>0</v>
      </c>
      <c r="C171">
        <v>0</v>
      </c>
      <c r="D171">
        <f t="shared" si="48"/>
        <v>0</v>
      </c>
      <c r="E171">
        <v>0</v>
      </c>
      <c r="F171">
        <v>0</v>
      </c>
      <c r="G171">
        <f t="shared" si="49"/>
        <v>0</v>
      </c>
      <c r="H171">
        <v>0</v>
      </c>
      <c r="I171">
        <v>0</v>
      </c>
      <c r="J171">
        <f t="shared" si="50"/>
        <v>0</v>
      </c>
      <c r="K171">
        <v>0</v>
      </c>
      <c r="L171">
        <v>0</v>
      </c>
      <c r="M171">
        <f t="shared" si="51"/>
        <v>0</v>
      </c>
      <c r="N171">
        <v>0</v>
      </c>
      <c r="O171">
        <v>0</v>
      </c>
      <c r="P171">
        <f t="shared" si="52"/>
        <v>0</v>
      </c>
      <c r="Q171">
        <v>0</v>
      </c>
      <c r="R171">
        <v>0</v>
      </c>
      <c r="S171">
        <f t="shared" si="53"/>
        <v>0</v>
      </c>
    </row>
    <row r="172" spans="1:19" x14ac:dyDescent="0.25">
      <c r="A172" t="s">
        <v>169</v>
      </c>
      <c r="B172">
        <v>0</v>
      </c>
      <c r="C172">
        <v>0</v>
      </c>
      <c r="D172">
        <f t="shared" si="48"/>
        <v>0</v>
      </c>
      <c r="E172">
        <v>0</v>
      </c>
      <c r="F172">
        <v>0</v>
      </c>
      <c r="G172">
        <f t="shared" si="49"/>
        <v>0</v>
      </c>
      <c r="H172">
        <v>0</v>
      </c>
      <c r="I172">
        <v>0</v>
      </c>
      <c r="J172">
        <f t="shared" si="50"/>
        <v>0</v>
      </c>
      <c r="K172">
        <v>0</v>
      </c>
      <c r="L172">
        <v>0</v>
      </c>
      <c r="M172">
        <f t="shared" si="51"/>
        <v>0</v>
      </c>
      <c r="N172">
        <v>0</v>
      </c>
      <c r="O172">
        <v>0</v>
      </c>
      <c r="P172">
        <f t="shared" si="52"/>
        <v>0</v>
      </c>
      <c r="Q172">
        <v>0</v>
      </c>
      <c r="R172">
        <v>0</v>
      </c>
      <c r="S172">
        <f t="shared" si="53"/>
        <v>0</v>
      </c>
    </row>
    <row r="173" spans="1:19" x14ac:dyDescent="0.25">
      <c r="A173" t="s">
        <v>170</v>
      </c>
      <c r="B173">
        <v>0</v>
      </c>
      <c r="C173">
        <v>0</v>
      </c>
      <c r="D173">
        <f t="shared" si="48"/>
        <v>0</v>
      </c>
      <c r="E173">
        <v>0</v>
      </c>
      <c r="F173">
        <v>0</v>
      </c>
      <c r="G173">
        <f t="shared" si="49"/>
        <v>0</v>
      </c>
      <c r="H173">
        <v>0</v>
      </c>
      <c r="I173">
        <v>0</v>
      </c>
      <c r="J173">
        <f t="shared" si="50"/>
        <v>0</v>
      </c>
      <c r="K173">
        <v>0</v>
      </c>
      <c r="L173">
        <v>0</v>
      </c>
      <c r="M173">
        <f t="shared" si="51"/>
        <v>0</v>
      </c>
      <c r="N173">
        <v>0</v>
      </c>
      <c r="O173">
        <v>0</v>
      </c>
      <c r="P173">
        <f t="shared" si="52"/>
        <v>0</v>
      </c>
      <c r="Q173">
        <v>0</v>
      </c>
      <c r="R173">
        <v>0</v>
      </c>
      <c r="S173">
        <f t="shared" si="53"/>
        <v>0</v>
      </c>
    </row>
    <row r="174" spans="1:19" x14ac:dyDescent="0.25">
      <c r="A174" t="s">
        <v>171</v>
      </c>
      <c r="B174">
        <v>0</v>
      </c>
      <c r="C174">
        <v>0</v>
      </c>
      <c r="D174">
        <f t="shared" si="48"/>
        <v>0</v>
      </c>
      <c r="E174">
        <v>0</v>
      </c>
      <c r="F174">
        <v>0</v>
      </c>
      <c r="G174">
        <f t="shared" si="49"/>
        <v>0</v>
      </c>
      <c r="H174">
        <v>0</v>
      </c>
      <c r="I174">
        <v>0</v>
      </c>
      <c r="J174">
        <f t="shared" si="50"/>
        <v>0</v>
      </c>
      <c r="K174">
        <v>0</v>
      </c>
      <c r="L174">
        <v>0</v>
      </c>
      <c r="M174">
        <f t="shared" si="51"/>
        <v>0</v>
      </c>
      <c r="N174">
        <v>0</v>
      </c>
      <c r="O174">
        <v>0</v>
      </c>
      <c r="P174">
        <f t="shared" si="52"/>
        <v>0</v>
      </c>
      <c r="Q174">
        <v>0</v>
      </c>
      <c r="R174">
        <v>0</v>
      </c>
      <c r="S174">
        <f t="shared" si="53"/>
        <v>0</v>
      </c>
    </row>
    <row r="175" spans="1:19" x14ac:dyDescent="0.25">
      <c r="A175" t="s">
        <v>172</v>
      </c>
      <c r="B175">
        <v>6</v>
      </c>
      <c r="C175">
        <v>0</v>
      </c>
      <c r="D175">
        <f t="shared" si="48"/>
        <v>6</v>
      </c>
      <c r="E175">
        <v>2</v>
      </c>
      <c r="F175">
        <v>0</v>
      </c>
      <c r="G175">
        <f t="shared" si="49"/>
        <v>2</v>
      </c>
      <c r="H175">
        <v>4</v>
      </c>
      <c r="I175">
        <v>0</v>
      </c>
      <c r="J175">
        <f t="shared" si="50"/>
        <v>4</v>
      </c>
      <c r="K175">
        <v>0</v>
      </c>
      <c r="L175">
        <v>0</v>
      </c>
      <c r="M175">
        <f t="shared" si="51"/>
        <v>0</v>
      </c>
      <c r="N175">
        <v>0</v>
      </c>
      <c r="O175">
        <v>0</v>
      </c>
      <c r="P175">
        <f t="shared" si="52"/>
        <v>0</v>
      </c>
      <c r="Q175">
        <v>0</v>
      </c>
      <c r="R175">
        <v>0</v>
      </c>
      <c r="S175">
        <f t="shared" si="53"/>
        <v>0</v>
      </c>
    </row>
    <row r="177" spans="1:19" x14ac:dyDescent="0.25">
      <c r="A177" s="8" t="s">
        <v>173</v>
      </c>
      <c r="B177" s="8" t="s">
        <v>173</v>
      </c>
      <c r="C177" s="8" t="s">
        <v>173</v>
      </c>
      <c r="D177" s="8" t="s">
        <v>173</v>
      </c>
      <c r="E177" s="8" t="s">
        <v>173</v>
      </c>
      <c r="F177" s="8" t="s">
        <v>173</v>
      </c>
      <c r="G177" s="8" t="s">
        <v>173</v>
      </c>
      <c r="H177" s="8" t="s">
        <v>173</v>
      </c>
      <c r="I177" s="8" t="s">
        <v>173</v>
      </c>
      <c r="J177" s="8" t="s">
        <v>173</v>
      </c>
      <c r="K177" s="8" t="s">
        <v>173</v>
      </c>
      <c r="L177" s="8" t="s">
        <v>173</v>
      </c>
      <c r="M177" s="8" t="s">
        <v>173</v>
      </c>
      <c r="N177" s="8" t="s">
        <v>173</v>
      </c>
      <c r="O177" s="8" t="s">
        <v>173</v>
      </c>
      <c r="P177" s="8" t="s">
        <v>173</v>
      </c>
      <c r="Q177" s="8" t="s">
        <v>173</v>
      </c>
      <c r="R177" s="8" t="s">
        <v>173</v>
      </c>
      <c r="S177" s="8" t="s">
        <v>173</v>
      </c>
    </row>
    <row r="178" spans="1:19" x14ac:dyDescent="0.25">
      <c r="A178" t="s">
        <v>174</v>
      </c>
      <c r="B178">
        <v>0</v>
      </c>
      <c r="C178">
        <v>1</v>
      </c>
      <c r="D178">
        <f t="shared" ref="D178:D191" si="54">B178+C178</f>
        <v>1</v>
      </c>
      <c r="E178">
        <v>0</v>
      </c>
      <c r="F178">
        <v>1</v>
      </c>
      <c r="G178">
        <f t="shared" ref="G178:G191" si="55">E178+F178</f>
        <v>1</v>
      </c>
      <c r="H178">
        <v>0</v>
      </c>
      <c r="I178">
        <v>0</v>
      </c>
      <c r="J178">
        <f t="shared" ref="J178:J191" si="56">H178+I178</f>
        <v>0</v>
      </c>
      <c r="K178">
        <v>0</v>
      </c>
      <c r="L178">
        <v>0</v>
      </c>
      <c r="M178">
        <f t="shared" ref="M178:M191" si="57">K178+L178</f>
        <v>0</v>
      </c>
      <c r="N178">
        <v>0</v>
      </c>
      <c r="O178">
        <v>0</v>
      </c>
      <c r="P178">
        <f t="shared" ref="P178:P191" si="58">N178+O178</f>
        <v>0</v>
      </c>
      <c r="Q178">
        <v>0</v>
      </c>
      <c r="R178">
        <v>0</v>
      </c>
      <c r="S178">
        <f t="shared" ref="S178:S191" si="59">Q178+R178</f>
        <v>0</v>
      </c>
    </row>
    <row r="179" spans="1:19" x14ac:dyDescent="0.25">
      <c r="A179" t="s">
        <v>175</v>
      </c>
      <c r="B179">
        <v>0</v>
      </c>
      <c r="C179">
        <v>0</v>
      </c>
      <c r="D179">
        <f t="shared" si="54"/>
        <v>0</v>
      </c>
      <c r="E179">
        <v>0</v>
      </c>
      <c r="F179">
        <v>0</v>
      </c>
      <c r="G179">
        <f t="shared" si="55"/>
        <v>0</v>
      </c>
      <c r="H179">
        <v>0</v>
      </c>
      <c r="I179">
        <v>0</v>
      </c>
      <c r="J179">
        <f t="shared" si="56"/>
        <v>0</v>
      </c>
      <c r="K179">
        <v>0</v>
      </c>
      <c r="L179">
        <v>0</v>
      </c>
      <c r="M179">
        <f t="shared" si="57"/>
        <v>0</v>
      </c>
      <c r="N179">
        <v>0</v>
      </c>
      <c r="O179">
        <v>0</v>
      </c>
      <c r="P179">
        <f t="shared" si="58"/>
        <v>0</v>
      </c>
      <c r="Q179">
        <v>0</v>
      </c>
      <c r="R179">
        <v>0</v>
      </c>
      <c r="S179">
        <f t="shared" si="59"/>
        <v>0</v>
      </c>
    </row>
    <row r="180" spans="1:19" x14ac:dyDescent="0.25">
      <c r="A180" t="s">
        <v>176</v>
      </c>
      <c r="B180">
        <v>0</v>
      </c>
      <c r="C180">
        <v>1</v>
      </c>
      <c r="D180">
        <f t="shared" si="54"/>
        <v>1</v>
      </c>
      <c r="E180">
        <v>0</v>
      </c>
      <c r="F180">
        <v>1</v>
      </c>
      <c r="G180">
        <f t="shared" si="55"/>
        <v>1</v>
      </c>
      <c r="H180">
        <v>0</v>
      </c>
      <c r="I180">
        <v>0</v>
      </c>
      <c r="J180">
        <f t="shared" si="56"/>
        <v>0</v>
      </c>
      <c r="K180">
        <v>0</v>
      </c>
      <c r="L180">
        <v>0</v>
      </c>
      <c r="M180">
        <f t="shared" si="57"/>
        <v>0</v>
      </c>
      <c r="N180">
        <v>0</v>
      </c>
      <c r="O180">
        <v>0</v>
      </c>
      <c r="P180">
        <f t="shared" si="58"/>
        <v>0</v>
      </c>
      <c r="Q180">
        <v>0</v>
      </c>
      <c r="R180">
        <v>0</v>
      </c>
      <c r="S180">
        <f t="shared" si="59"/>
        <v>0</v>
      </c>
    </row>
    <row r="181" spans="1:19" x14ac:dyDescent="0.25">
      <c r="A181" t="s">
        <v>177</v>
      </c>
      <c r="B181">
        <v>24</v>
      </c>
      <c r="C181">
        <v>11</v>
      </c>
      <c r="D181">
        <f t="shared" si="54"/>
        <v>35</v>
      </c>
      <c r="E181">
        <v>24</v>
      </c>
      <c r="F181">
        <v>11</v>
      </c>
      <c r="G181">
        <f t="shared" si="55"/>
        <v>35</v>
      </c>
      <c r="H181">
        <v>0</v>
      </c>
      <c r="I181">
        <v>0</v>
      </c>
      <c r="J181">
        <f t="shared" si="56"/>
        <v>0</v>
      </c>
      <c r="K181">
        <v>0</v>
      </c>
      <c r="L181">
        <v>0</v>
      </c>
      <c r="M181">
        <f t="shared" si="57"/>
        <v>0</v>
      </c>
      <c r="N181">
        <v>0</v>
      </c>
      <c r="O181">
        <v>0</v>
      </c>
      <c r="P181">
        <f t="shared" si="58"/>
        <v>0</v>
      </c>
      <c r="Q181">
        <v>0</v>
      </c>
      <c r="R181">
        <v>0</v>
      </c>
      <c r="S181">
        <f t="shared" si="59"/>
        <v>0</v>
      </c>
    </row>
    <row r="182" spans="1:19" x14ac:dyDescent="0.25">
      <c r="A182" t="s">
        <v>178</v>
      </c>
      <c r="B182">
        <v>422</v>
      </c>
      <c r="C182">
        <v>194</v>
      </c>
      <c r="D182">
        <f t="shared" si="54"/>
        <v>616</v>
      </c>
      <c r="E182">
        <v>309</v>
      </c>
      <c r="F182">
        <v>119</v>
      </c>
      <c r="G182">
        <f t="shared" si="55"/>
        <v>428</v>
      </c>
      <c r="H182">
        <v>26</v>
      </c>
      <c r="I182">
        <v>23</v>
      </c>
      <c r="J182">
        <f t="shared" si="56"/>
        <v>49</v>
      </c>
      <c r="K182">
        <v>31</v>
      </c>
      <c r="L182">
        <v>12</v>
      </c>
      <c r="M182">
        <f t="shared" si="57"/>
        <v>43</v>
      </c>
      <c r="N182">
        <v>15</v>
      </c>
      <c r="O182">
        <v>9</v>
      </c>
      <c r="P182">
        <f t="shared" si="58"/>
        <v>24</v>
      </c>
      <c r="Q182">
        <v>41</v>
      </c>
      <c r="R182">
        <v>31</v>
      </c>
      <c r="S182">
        <f t="shared" si="59"/>
        <v>72</v>
      </c>
    </row>
    <row r="183" spans="1:19" x14ac:dyDescent="0.25">
      <c r="A183" t="s">
        <v>179</v>
      </c>
      <c r="B183">
        <v>0</v>
      </c>
      <c r="C183">
        <v>2</v>
      </c>
      <c r="D183">
        <f t="shared" si="54"/>
        <v>2</v>
      </c>
      <c r="E183">
        <v>0</v>
      </c>
      <c r="F183">
        <v>2</v>
      </c>
      <c r="G183">
        <f t="shared" si="55"/>
        <v>2</v>
      </c>
      <c r="H183">
        <v>0</v>
      </c>
      <c r="I183">
        <v>0</v>
      </c>
      <c r="J183">
        <f t="shared" si="56"/>
        <v>0</v>
      </c>
      <c r="K183">
        <v>0</v>
      </c>
      <c r="L183">
        <v>0</v>
      </c>
      <c r="M183">
        <f t="shared" si="57"/>
        <v>0</v>
      </c>
      <c r="N183">
        <v>0</v>
      </c>
      <c r="O183">
        <v>0</v>
      </c>
      <c r="P183">
        <f t="shared" si="58"/>
        <v>0</v>
      </c>
      <c r="Q183">
        <v>0</v>
      </c>
      <c r="R183">
        <v>0</v>
      </c>
      <c r="S183">
        <f t="shared" si="59"/>
        <v>0</v>
      </c>
    </row>
    <row r="184" spans="1:19" x14ac:dyDescent="0.25">
      <c r="A184" t="s">
        <v>180</v>
      </c>
      <c r="B184">
        <v>296</v>
      </c>
      <c r="C184">
        <v>222</v>
      </c>
      <c r="D184">
        <f t="shared" si="54"/>
        <v>518</v>
      </c>
      <c r="E184">
        <v>275</v>
      </c>
      <c r="F184">
        <v>203</v>
      </c>
      <c r="G184">
        <f t="shared" si="55"/>
        <v>478</v>
      </c>
      <c r="H184">
        <v>17</v>
      </c>
      <c r="I184">
        <v>16</v>
      </c>
      <c r="J184">
        <f t="shared" si="56"/>
        <v>33</v>
      </c>
      <c r="K184">
        <v>3</v>
      </c>
      <c r="L184">
        <v>2</v>
      </c>
      <c r="M184">
        <f t="shared" si="57"/>
        <v>5</v>
      </c>
      <c r="N184">
        <v>1</v>
      </c>
      <c r="O184">
        <v>1</v>
      </c>
      <c r="P184">
        <f t="shared" si="58"/>
        <v>2</v>
      </c>
      <c r="Q184">
        <v>0</v>
      </c>
      <c r="R184">
        <v>0</v>
      </c>
      <c r="S184">
        <f t="shared" si="59"/>
        <v>0</v>
      </c>
    </row>
    <row r="185" spans="1:19" x14ac:dyDescent="0.25">
      <c r="A185" t="s">
        <v>181</v>
      </c>
      <c r="B185">
        <v>4990</v>
      </c>
      <c r="C185">
        <v>407</v>
      </c>
      <c r="D185">
        <f t="shared" si="54"/>
        <v>5397</v>
      </c>
      <c r="E185">
        <v>1400</v>
      </c>
      <c r="F185">
        <v>289</v>
      </c>
      <c r="G185">
        <f t="shared" si="55"/>
        <v>1689</v>
      </c>
      <c r="H185">
        <v>646</v>
      </c>
      <c r="I185">
        <v>86</v>
      </c>
      <c r="J185">
        <f t="shared" si="56"/>
        <v>732</v>
      </c>
      <c r="K185">
        <v>774</v>
      </c>
      <c r="L185">
        <v>19</v>
      </c>
      <c r="M185">
        <f t="shared" si="57"/>
        <v>793</v>
      </c>
      <c r="N185">
        <v>367</v>
      </c>
      <c r="O185">
        <v>8</v>
      </c>
      <c r="P185">
        <f t="shared" si="58"/>
        <v>375</v>
      </c>
      <c r="Q185">
        <v>1803</v>
      </c>
      <c r="R185">
        <v>5</v>
      </c>
      <c r="S185">
        <f t="shared" si="59"/>
        <v>1808</v>
      </c>
    </row>
    <row r="186" spans="1:19" x14ac:dyDescent="0.25">
      <c r="A186" t="s">
        <v>182</v>
      </c>
      <c r="B186">
        <v>0</v>
      </c>
      <c r="C186">
        <v>0</v>
      </c>
      <c r="D186">
        <f t="shared" si="54"/>
        <v>0</v>
      </c>
      <c r="E186">
        <v>0</v>
      </c>
      <c r="F186">
        <v>0</v>
      </c>
      <c r="G186">
        <f t="shared" si="55"/>
        <v>0</v>
      </c>
      <c r="H186">
        <v>0</v>
      </c>
      <c r="I186">
        <v>0</v>
      </c>
      <c r="J186">
        <f t="shared" si="56"/>
        <v>0</v>
      </c>
      <c r="K186">
        <v>0</v>
      </c>
      <c r="L186">
        <v>0</v>
      </c>
      <c r="M186">
        <f t="shared" si="57"/>
        <v>0</v>
      </c>
      <c r="N186">
        <v>0</v>
      </c>
      <c r="O186">
        <v>0</v>
      </c>
      <c r="P186">
        <f t="shared" si="58"/>
        <v>0</v>
      </c>
      <c r="Q186">
        <v>0</v>
      </c>
      <c r="R186">
        <v>0</v>
      </c>
      <c r="S186">
        <f t="shared" si="59"/>
        <v>0</v>
      </c>
    </row>
    <row r="187" spans="1:19" x14ac:dyDescent="0.25">
      <c r="A187" t="s">
        <v>183</v>
      </c>
      <c r="B187">
        <v>0</v>
      </c>
      <c r="C187">
        <v>1</v>
      </c>
      <c r="D187">
        <f t="shared" si="54"/>
        <v>1</v>
      </c>
      <c r="E187">
        <v>0</v>
      </c>
      <c r="F187">
        <v>1</v>
      </c>
      <c r="G187">
        <f t="shared" si="55"/>
        <v>1</v>
      </c>
      <c r="H187">
        <v>0</v>
      </c>
      <c r="I187">
        <v>0</v>
      </c>
      <c r="J187">
        <f t="shared" si="56"/>
        <v>0</v>
      </c>
      <c r="K187">
        <v>0</v>
      </c>
      <c r="L187">
        <v>0</v>
      </c>
      <c r="M187">
        <f t="shared" si="57"/>
        <v>0</v>
      </c>
      <c r="N187">
        <v>0</v>
      </c>
      <c r="O187">
        <v>0</v>
      </c>
      <c r="P187">
        <f t="shared" si="58"/>
        <v>0</v>
      </c>
      <c r="Q187">
        <v>0</v>
      </c>
      <c r="R187">
        <v>0</v>
      </c>
      <c r="S187">
        <f t="shared" si="59"/>
        <v>0</v>
      </c>
    </row>
    <row r="188" spans="1:19" x14ac:dyDescent="0.25">
      <c r="A188" t="s">
        <v>184</v>
      </c>
      <c r="B188">
        <v>0</v>
      </c>
      <c r="C188">
        <v>9</v>
      </c>
      <c r="D188">
        <f t="shared" si="54"/>
        <v>9</v>
      </c>
      <c r="E188">
        <v>0</v>
      </c>
      <c r="F188">
        <v>4</v>
      </c>
      <c r="G188">
        <f t="shared" si="55"/>
        <v>4</v>
      </c>
      <c r="H188">
        <v>0</v>
      </c>
      <c r="I188">
        <v>2</v>
      </c>
      <c r="J188">
        <f t="shared" si="56"/>
        <v>2</v>
      </c>
      <c r="K188">
        <v>0</v>
      </c>
      <c r="L188">
        <v>2</v>
      </c>
      <c r="M188">
        <f t="shared" si="57"/>
        <v>2</v>
      </c>
      <c r="N188">
        <v>0</v>
      </c>
      <c r="O188">
        <v>0</v>
      </c>
      <c r="P188">
        <f t="shared" si="58"/>
        <v>0</v>
      </c>
      <c r="Q188">
        <v>0</v>
      </c>
      <c r="R188">
        <v>1</v>
      </c>
      <c r="S188">
        <f t="shared" si="59"/>
        <v>1</v>
      </c>
    </row>
    <row r="189" spans="1:19" x14ac:dyDescent="0.25">
      <c r="A189" t="s">
        <v>185</v>
      </c>
      <c r="B189">
        <v>0</v>
      </c>
      <c r="C189">
        <v>0</v>
      </c>
      <c r="D189">
        <f t="shared" si="54"/>
        <v>0</v>
      </c>
      <c r="E189">
        <v>0</v>
      </c>
      <c r="F189">
        <v>0</v>
      </c>
      <c r="G189">
        <f t="shared" si="55"/>
        <v>0</v>
      </c>
      <c r="H189">
        <v>0</v>
      </c>
      <c r="I189">
        <v>0</v>
      </c>
      <c r="J189">
        <f t="shared" si="56"/>
        <v>0</v>
      </c>
      <c r="K189">
        <v>0</v>
      </c>
      <c r="L189">
        <v>0</v>
      </c>
      <c r="M189">
        <f t="shared" si="57"/>
        <v>0</v>
      </c>
      <c r="N189">
        <v>0</v>
      </c>
      <c r="O189">
        <v>0</v>
      </c>
      <c r="P189">
        <f t="shared" si="58"/>
        <v>0</v>
      </c>
      <c r="Q189">
        <v>0</v>
      </c>
      <c r="R189">
        <v>0</v>
      </c>
      <c r="S189">
        <f t="shared" si="59"/>
        <v>0</v>
      </c>
    </row>
    <row r="190" spans="1:19" x14ac:dyDescent="0.25">
      <c r="A190" t="s">
        <v>186</v>
      </c>
      <c r="B190">
        <v>0</v>
      </c>
      <c r="C190">
        <v>0</v>
      </c>
      <c r="D190">
        <f t="shared" si="54"/>
        <v>0</v>
      </c>
      <c r="E190">
        <v>0</v>
      </c>
      <c r="F190">
        <v>0</v>
      </c>
      <c r="G190">
        <f t="shared" si="55"/>
        <v>0</v>
      </c>
      <c r="H190">
        <v>0</v>
      </c>
      <c r="I190">
        <v>0</v>
      </c>
      <c r="J190">
        <f t="shared" si="56"/>
        <v>0</v>
      </c>
      <c r="K190">
        <v>0</v>
      </c>
      <c r="L190">
        <v>0</v>
      </c>
      <c r="M190">
        <f t="shared" si="57"/>
        <v>0</v>
      </c>
      <c r="N190">
        <v>0</v>
      </c>
      <c r="O190">
        <v>0</v>
      </c>
      <c r="P190">
        <f t="shared" si="58"/>
        <v>0</v>
      </c>
      <c r="Q190">
        <v>0</v>
      </c>
      <c r="R190">
        <v>0</v>
      </c>
      <c r="S190">
        <f t="shared" si="59"/>
        <v>0</v>
      </c>
    </row>
    <row r="191" spans="1:19" x14ac:dyDescent="0.25">
      <c r="A191" t="s">
        <v>187</v>
      </c>
      <c r="B191">
        <v>7</v>
      </c>
      <c r="C191">
        <v>9</v>
      </c>
      <c r="D191">
        <f t="shared" si="54"/>
        <v>16</v>
      </c>
      <c r="E191">
        <v>6</v>
      </c>
      <c r="F191">
        <v>6</v>
      </c>
      <c r="G191">
        <f t="shared" si="55"/>
        <v>12</v>
      </c>
      <c r="H191">
        <v>1</v>
      </c>
      <c r="I191">
        <v>2</v>
      </c>
      <c r="J191">
        <f t="shared" si="56"/>
        <v>3</v>
      </c>
      <c r="K191">
        <v>0</v>
      </c>
      <c r="L191">
        <v>1</v>
      </c>
      <c r="M191">
        <f t="shared" si="57"/>
        <v>1</v>
      </c>
      <c r="N191">
        <v>0</v>
      </c>
      <c r="O191">
        <v>0</v>
      </c>
      <c r="P191">
        <f t="shared" si="58"/>
        <v>0</v>
      </c>
      <c r="Q191">
        <v>0</v>
      </c>
      <c r="R191">
        <v>0</v>
      </c>
      <c r="S191">
        <f t="shared" si="59"/>
        <v>0</v>
      </c>
    </row>
    <row r="193" spans="1:19" x14ac:dyDescent="0.25">
      <c r="A193" s="8" t="s">
        <v>188</v>
      </c>
      <c r="B193" s="8" t="s">
        <v>188</v>
      </c>
      <c r="C193" s="8" t="s">
        <v>188</v>
      </c>
      <c r="D193" s="8" t="s">
        <v>188</v>
      </c>
      <c r="E193" s="8" t="s">
        <v>188</v>
      </c>
      <c r="F193" s="8" t="s">
        <v>188</v>
      </c>
      <c r="G193" s="8" t="s">
        <v>188</v>
      </c>
      <c r="H193" s="8" t="s">
        <v>188</v>
      </c>
      <c r="I193" s="8" t="s">
        <v>188</v>
      </c>
      <c r="J193" s="8" t="s">
        <v>188</v>
      </c>
      <c r="K193" s="8" t="s">
        <v>188</v>
      </c>
      <c r="L193" s="8" t="s">
        <v>188</v>
      </c>
      <c r="M193" s="8" t="s">
        <v>188</v>
      </c>
      <c r="N193" s="8" t="s">
        <v>188</v>
      </c>
      <c r="O193" s="8" t="s">
        <v>188</v>
      </c>
      <c r="P193" s="8" t="s">
        <v>188</v>
      </c>
      <c r="Q193" s="8" t="s">
        <v>188</v>
      </c>
      <c r="R193" s="8" t="s">
        <v>188</v>
      </c>
      <c r="S193" s="8" t="s">
        <v>188</v>
      </c>
    </row>
    <row r="194" spans="1:19" x14ac:dyDescent="0.25">
      <c r="A194" t="s">
        <v>189</v>
      </c>
      <c r="B194">
        <v>0</v>
      </c>
      <c r="C194">
        <v>1</v>
      </c>
      <c r="D194">
        <f t="shared" ref="D194:D207" si="60">B194+C194</f>
        <v>1</v>
      </c>
      <c r="E194">
        <v>0</v>
      </c>
      <c r="F194">
        <v>1</v>
      </c>
      <c r="G194">
        <f t="shared" ref="G194:G207" si="61">E194+F194</f>
        <v>1</v>
      </c>
      <c r="H194">
        <v>0</v>
      </c>
      <c r="I194">
        <v>0</v>
      </c>
      <c r="J194">
        <f t="shared" ref="J194:J207" si="62">H194+I194</f>
        <v>0</v>
      </c>
      <c r="K194">
        <v>0</v>
      </c>
      <c r="L194">
        <v>0</v>
      </c>
      <c r="M194">
        <f t="shared" ref="M194:M207" si="63">K194+L194</f>
        <v>0</v>
      </c>
      <c r="N194">
        <v>0</v>
      </c>
      <c r="O194">
        <v>0</v>
      </c>
      <c r="P194">
        <f t="shared" ref="P194:P207" si="64">N194+O194</f>
        <v>0</v>
      </c>
      <c r="Q194">
        <v>0</v>
      </c>
      <c r="R194">
        <v>0</v>
      </c>
      <c r="S194">
        <f t="shared" ref="S194:S207" si="65">Q194+R194</f>
        <v>0</v>
      </c>
    </row>
    <row r="195" spans="1:19" x14ac:dyDescent="0.25">
      <c r="A195" t="s">
        <v>190</v>
      </c>
      <c r="B195">
        <v>0</v>
      </c>
      <c r="C195">
        <v>0</v>
      </c>
      <c r="D195">
        <f t="shared" si="60"/>
        <v>0</v>
      </c>
      <c r="E195">
        <v>0</v>
      </c>
      <c r="F195">
        <v>0</v>
      </c>
      <c r="G195">
        <f t="shared" si="61"/>
        <v>0</v>
      </c>
      <c r="H195">
        <v>0</v>
      </c>
      <c r="I195">
        <v>0</v>
      </c>
      <c r="J195">
        <f t="shared" si="62"/>
        <v>0</v>
      </c>
      <c r="K195">
        <v>0</v>
      </c>
      <c r="L195">
        <v>0</v>
      </c>
      <c r="M195">
        <f t="shared" si="63"/>
        <v>0</v>
      </c>
      <c r="N195">
        <v>0</v>
      </c>
      <c r="O195">
        <v>0</v>
      </c>
      <c r="P195">
        <f t="shared" si="64"/>
        <v>0</v>
      </c>
      <c r="Q195">
        <v>0</v>
      </c>
      <c r="R195">
        <v>0</v>
      </c>
      <c r="S195">
        <f t="shared" si="65"/>
        <v>0</v>
      </c>
    </row>
    <row r="196" spans="1:19" x14ac:dyDescent="0.25">
      <c r="A196" t="s">
        <v>191</v>
      </c>
      <c r="B196">
        <v>0</v>
      </c>
      <c r="C196">
        <v>10</v>
      </c>
      <c r="D196">
        <f t="shared" si="60"/>
        <v>10</v>
      </c>
      <c r="E196">
        <v>0</v>
      </c>
      <c r="F196">
        <v>9</v>
      </c>
      <c r="G196">
        <f t="shared" si="61"/>
        <v>9</v>
      </c>
      <c r="H196">
        <v>0</v>
      </c>
      <c r="I196">
        <v>1</v>
      </c>
      <c r="J196">
        <f t="shared" si="62"/>
        <v>1</v>
      </c>
      <c r="K196">
        <v>0</v>
      </c>
      <c r="L196">
        <v>0</v>
      </c>
      <c r="M196">
        <f t="shared" si="63"/>
        <v>0</v>
      </c>
      <c r="N196">
        <v>0</v>
      </c>
      <c r="O196">
        <v>0</v>
      </c>
      <c r="P196">
        <f t="shared" si="64"/>
        <v>0</v>
      </c>
      <c r="Q196">
        <v>0</v>
      </c>
      <c r="R196">
        <v>0</v>
      </c>
      <c r="S196">
        <f t="shared" si="65"/>
        <v>0</v>
      </c>
    </row>
    <row r="197" spans="1:19" x14ac:dyDescent="0.25">
      <c r="A197" t="s">
        <v>192</v>
      </c>
      <c r="B197">
        <v>7</v>
      </c>
      <c r="C197">
        <v>33</v>
      </c>
      <c r="D197">
        <f t="shared" si="60"/>
        <v>40</v>
      </c>
      <c r="E197">
        <v>7</v>
      </c>
      <c r="F197">
        <v>33</v>
      </c>
      <c r="G197">
        <f t="shared" si="61"/>
        <v>40</v>
      </c>
      <c r="H197">
        <v>0</v>
      </c>
      <c r="I197">
        <v>0</v>
      </c>
      <c r="J197">
        <f t="shared" si="62"/>
        <v>0</v>
      </c>
      <c r="K197">
        <v>0</v>
      </c>
      <c r="L197">
        <v>0</v>
      </c>
      <c r="M197">
        <f t="shared" si="63"/>
        <v>0</v>
      </c>
      <c r="N197">
        <v>0</v>
      </c>
      <c r="O197">
        <v>0</v>
      </c>
      <c r="P197">
        <f t="shared" si="64"/>
        <v>0</v>
      </c>
      <c r="Q197">
        <v>0</v>
      </c>
      <c r="R197">
        <v>0</v>
      </c>
      <c r="S197">
        <f t="shared" si="65"/>
        <v>0</v>
      </c>
    </row>
    <row r="198" spans="1:19" x14ac:dyDescent="0.25">
      <c r="A198" t="s">
        <v>193</v>
      </c>
      <c r="B198">
        <v>1</v>
      </c>
      <c r="C198">
        <v>126</v>
      </c>
      <c r="D198">
        <f t="shared" si="60"/>
        <v>127</v>
      </c>
      <c r="E198">
        <v>1</v>
      </c>
      <c r="F198">
        <v>122</v>
      </c>
      <c r="G198">
        <f t="shared" si="61"/>
        <v>123</v>
      </c>
      <c r="H198">
        <v>0</v>
      </c>
      <c r="I198">
        <v>1</v>
      </c>
      <c r="J198">
        <f t="shared" si="62"/>
        <v>1</v>
      </c>
      <c r="K198">
        <v>0</v>
      </c>
      <c r="L198">
        <v>0</v>
      </c>
      <c r="M198">
        <f t="shared" si="63"/>
        <v>0</v>
      </c>
      <c r="N198">
        <v>0</v>
      </c>
      <c r="O198">
        <v>0</v>
      </c>
      <c r="P198">
        <f t="shared" si="64"/>
        <v>0</v>
      </c>
      <c r="Q198">
        <v>0</v>
      </c>
      <c r="R198">
        <v>3</v>
      </c>
      <c r="S198">
        <f t="shared" si="65"/>
        <v>3</v>
      </c>
    </row>
    <row r="199" spans="1:19" x14ac:dyDescent="0.25">
      <c r="A199" t="s">
        <v>194</v>
      </c>
      <c r="B199">
        <v>0</v>
      </c>
      <c r="C199">
        <v>1</v>
      </c>
      <c r="D199">
        <f t="shared" si="60"/>
        <v>1</v>
      </c>
      <c r="E199">
        <v>0</v>
      </c>
      <c r="F199">
        <v>1</v>
      </c>
      <c r="G199">
        <f t="shared" si="61"/>
        <v>1</v>
      </c>
      <c r="H199">
        <v>0</v>
      </c>
      <c r="I199">
        <v>0</v>
      </c>
      <c r="J199">
        <f t="shared" si="62"/>
        <v>0</v>
      </c>
      <c r="K199">
        <v>0</v>
      </c>
      <c r="L199">
        <v>0</v>
      </c>
      <c r="M199">
        <f t="shared" si="63"/>
        <v>0</v>
      </c>
      <c r="N199">
        <v>0</v>
      </c>
      <c r="O199">
        <v>0</v>
      </c>
      <c r="P199">
        <f t="shared" si="64"/>
        <v>0</v>
      </c>
      <c r="Q199">
        <v>0</v>
      </c>
      <c r="R199">
        <v>0</v>
      </c>
      <c r="S199">
        <f t="shared" si="65"/>
        <v>0</v>
      </c>
    </row>
    <row r="200" spans="1:19" x14ac:dyDescent="0.25">
      <c r="A200" t="s">
        <v>195</v>
      </c>
      <c r="B200">
        <v>0</v>
      </c>
      <c r="C200">
        <v>88</v>
      </c>
      <c r="D200">
        <f t="shared" si="60"/>
        <v>88</v>
      </c>
      <c r="E200">
        <v>0</v>
      </c>
      <c r="F200">
        <v>87</v>
      </c>
      <c r="G200">
        <f t="shared" si="61"/>
        <v>87</v>
      </c>
      <c r="H200">
        <v>0</v>
      </c>
      <c r="I200">
        <v>0</v>
      </c>
      <c r="J200">
        <f t="shared" si="62"/>
        <v>0</v>
      </c>
      <c r="K200">
        <v>0</v>
      </c>
      <c r="L200">
        <v>0</v>
      </c>
      <c r="M200">
        <f t="shared" si="63"/>
        <v>0</v>
      </c>
      <c r="N200">
        <v>0</v>
      </c>
      <c r="O200">
        <v>0</v>
      </c>
      <c r="P200">
        <f t="shared" si="64"/>
        <v>0</v>
      </c>
      <c r="Q200">
        <v>0</v>
      </c>
      <c r="R200">
        <v>1</v>
      </c>
      <c r="S200">
        <f t="shared" si="65"/>
        <v>1</v>
      </c>
    </row>
    <row r="201" spans="1:19" x14ac:dyDescent="0.25">
      <c r="A201" t="s">
        <v>196</v>
      </c>
      <c r="B201">
        <v>0</v>
      </c>
      <c r="C201">
        <v>15</v>
      </c>
      <c r="D201">
        <f t="shared" si="60"/>
        <v>15</v>
      </c>
      <c r="E201">
        <v>0</v>
      </c>
      <c r="F201">
        <v>15</v>
      </c>
      <c r="G201">
        <f t="shared" si="61"/>
        <v>15</v>
      </c>
      <c r="H201">
        <v>0</v>
      </c>
      <c r="I201">
        <v>0</v>
      </c>
      <c r="J201">
        <f t="shared" si="62"/>
        <v>0</v>
      </c>
      <c r="K201">
        <v>0</v>
      </c>
      <c r="L201">
        <v>0</v>
      </c>
      <c r="M201">
        <f t="shared" si="63"/>
        <v>0</v>
      </c>
      <c r="N201">
        <v>0</v>
      </c>
      <c r="O201">
        <v>0</v>
      </c>
      <c r="P201">
        <f t="shared" si="64"/>
        <v>0</v>
      </c>
      <c r="Q201">
        <v>0</v>
      </c>
      <c r="R201">
        <v>0</v>
      </c>
      <c r="S201">
        <f t="shared" si="65"/>
        <v>0</v>
      </c>
    </row>
    <row r="202" spans="1:19" x14ac:dyDescent="0.25">
      <c r="A202" t="s">
        <v>197</v>
      </c>
      <c r="B202">
        <v>0</v>
      </c>
      <c r="C202">
        <v>19</v>
      </c>
      <c r="D202">
        <f t="shared" si="60"/>
        <v>19</v>
      </c>
      <c r="E202">
        <v>0</v>
      </c>
      <c r="F202">
        <v>19</v>
      </c>
      <c r="G202">
        <f t="shared" si="61"/>
        <v>19</v>
      </c>
      <c r="H202">
        <v>0</v>
      </c>
      <c r="I202">
        <v>0</v>
      </c>
      <c r="J202">
        <f t="shared" si="62"/>
        <v>0</v>
      </c>
      <c r="K202">
        <v>0</v>
      </c>
      <c r="L202">
        <v>0</v>
      </c>
      <c r="M202">
        <f t="shared" si="63"/>
        <v>0</v>
      </c>
      <c r="N202">
        <v>0</v>
      </c>
      <c r="O202">
        <v>0</v>
      </c>
      <c r="P202">
        <f t="shared" si="64"/>
        <v>0</v>
      </c>
      <c r="Q202">
        <v>0</v>
      </c>
      <c r="R202">
        <v>0</v>
      </c>
      <c r="S202">
        <f t="shared" si="65"/>
        <v>0</v>
      </c>
    </row>
    <row r="203" spans="1:19" x14ac:dyDescent="0.25">
      <c r="A203" t="s">
        <v>198</v>
      </c>
      <c r="B203">
        <v>0</v>
      </c>
      <c r="C203">
        <v>0</v>
      </c>
      <c r="D203">
        <f t="shared" si="60"/>
        <v>0</v>
      </c>
      <c r="E203">
        <v>0</v>
      </c>
      <c r="F203">
        <v>0</v>
      </c>
      <c r="G203">
        <f t="shared" si="61"/>
        <v>0</v>
      </c>
      <c r="H203">
        <v>0</v>
      </c>
      <c r="I203">
        <v>0</v>
      </c>
      <c r="J203">
        <f t="shared" si="62"/>
        <v>0</v>
      </c>
      <c r="K203">
        <v>0</v>
      </c>
      <c r="L203">
        <v>0</v>
      </c>
      <c r="M203">
        <f t="shared" si="63"/>
        <v>0</v>
      </c>
      <c r="N203">
        <v>0</v>
      </c>
      <c r="O203">
        <v>0</v>
      </c>
      <c r="P203">
        <f t="shared" si="64"/>
        <v>0</v>
      </c>
      <c r="Q203">
        <v>0</v>
      </c>
      <c r="R203">
        <v>0</v>
      </c>
      <c r="S203">
        <f t="shared" si="65"/>
        <v>0</v>
      </c>
    </row>
    <row r="204" spans="1:19" x14ac:dyDescent="0.25">
      <c r="A204" t="s">
        <v>199</v>
      </c>
      <c r="B204">
        <v>0</v>
      </c>
      <c r="C204">
        <v>19</v>
      </c>
      <c r="D204">
        <f t="shared" si="60"/>
        <v>19</v>
      </c>
      <c r="E204">
        <v>0</v>
      </c>
      <c r="F204">
        <v>19</v>
      </c>
      <c r="G204">
        <f t="shared" si="61"/>
        <v>19</v>
      </c>
      <c r="H204">
        <v>0</v>
      </c>
      <c r="I204">
        <v>0</v>
      </c>
      <c r="J204">
        <f t="shared" si="62"/>
        <v>0</v>
      </c>
      <c r="K204">
        <v>0</v>
      </c>
      <c r="L204">
        <v>0</v>
      </c>
      <c r="M204">
        <f t="shared" si="63"/>
        <v>0</v>
      </c>
      <c r="N204">
        <v>0</v>
      </c>
      <c r="O204">
        <v>0</v>
      </c>
      <c r="P204">
        <f t="shared" si="64"/>
        <v>0</v>
      </c>
      <c r="Q204">
        <v>0</v>
      </c>
      <c r="R204">
        <v>0</v>
      </c>
      <c r="S204">
        <f t="shared" si="65"/>
        <v>0</v>
      </c>
    </row>
    <row r="205" spans="1:19" x14ac:dyDescent="0.25">
      <c r="A205" t="s">
        <v>200</v>
      </c>
      <c r="B205">
        <v>0</v>
      </c>
      <c r="C205">
        <v>11</v>
      </c>
      <c r="D205">
        <f t="shared" si="60"/>
        <v>11</v>
      </c>
      <c r="E205">
        <v>0</v>
      </c>
      <c r="F205">
        <v>11</v>
      </c>
      <c r="G205">
        <f t="shared" si="61"/>
        <v>11</v>
      </c>
      <c r="H205">
        <v>0</v>
      </c>
      <c r="I205">
        <v>0</v>
      </c>
      <c r="J205">
        <f t="shared" si="62"/>
        <v>0</v>
      </c>
      <c r="K205">
        <v>0</v>
      </c>
      <c r="L205">
        <v>0</v>
      </c>
      <c r="M205">
        <f t="shared" si="63"/>
        <v>0</v>
      </c>
      <c r="N205">
        <v>0</v>
      </c>
      <c r="O205">
        <v>0</v>
      </c>
      <c r="P205">
        <f t="shared" si="64"/>
        <v>0</v>
      </c>
      <c r="Q205">
        <v>0</v>
      </c>
      <c r="R205">
        <v>0</v>
      </c>
      <c r="S205">
        <f t="shared" si="65"/>
        <v>0</v>
      </c>
    </row>
    <row r="206" spans="1:19" x14ac:dyDescent="0.25">
      <c r="A206" t="s">
        <v>201</v>
      </c>
      <c r="B206">
        <v>0</v>
      </c>
      <c r="C206">
        <v>2</v>
      </c>
      <c r="D206">
        <f t="shared" si="60"/>
        <v>2</v>
      </c>
      <c r="E206">
        <v>0</v>
      </c>
      <c r="F206">
        <v>1</v>
      </c>
      <c r="G206">
        <f t="shared" si="61"/>
        <v>1</v>
      </c>
      <c r="H206">
        <v>0</v>
      </c>
      <c r="I206">
        <v>1</v>
      </c>
      <c r="J206">
        <f t="shared" si="62"/>
        <v>1</v>
      </c>
      <c r="K206">
        <v>0</v>
      </c>
      <c r="L206">
        <v>0</v>
      </c>
      <c r="M206">
        <f t="shared" si="63"/>
        <v>0</v>
      </c>
      <c r="N206">
        <v>0</v>
      </c>
      <c r="O206">
        <v>0</v>
      </c>
      <c r="P206">
        <f t="shared" si="64"/>
        <v>0</v>
      </c>
      <c r="Q206">
        <v>0</v>
      </c>
      <c r="R206">
        <v>0</v>
      </c>
      <c r="S206">
        <f t="shared" si="65"/>
        <v>0</v>
      </c>
    </row>
    <row r="207" spans="1:19" x14ac:dyDescent="0.25">
      <c r="A207" t="s">
        <v>202</v>
      </c>
      <c r="B207">
        <v>0</v>
      </c>
      <c r="C207">
        <v>0</v>
      </c>
      <c r="D207">
        <f t="shared" si="60"/>
        <v>0</v>
      </c>
      <c r="E207">
        <v>0</v>
      </c>
      <c r="F207">
        <v>0</v>
      </c>
      <c r="G207">
        <f t="shared" si="61"/>
        <v>0</v>
      </c>
      <c r="H207">
        <v>0</v>
      </c>
      <c r="I207">
        <v>0</v>
      </c>
      <c r="J207">
        <f t="shared" si="62"/>
        <v>0</v>
      </c>
      <c r="K207">
        <v>0</v>
      </c>
      <c r="L207">
        <v>0</v>
      </c>
      <c r="M207">
        <f t="shared" si="63"/>
        <v>0</v>
      </c>
      <c r="N207">
        <v>0</v>
      </c>
      <c r="O207">
        <v>0</v>
      </c>
      <c r="P207">
        <f t="shared" si="64"/>
        <v>0</v>
      </c>
      <c r="Q207">
        <v>0</v>
      </c>
      <c r="R207">
        <v>0</v>
      </c>
      <c r="S207">
        <f t="shared" si="65"/>
        <v>0</v>
      </c>
    </row>
    <row r="209" spans="1:19" x14ac:dyDescent="0.25">
      <c r="A209" s="8" t="s">
        <v>203</v>
      </c>
      <c r="B209" s="8" t="s">
        <v>203</v>
      </c>
      <c r="C209" s="8" t="s">
        <v>203</v>
      </c>
      <c r="D209" s="8" t="s">
        <v>203</v>
      </c>
      <c r="E209" s="8" t="s">
        <v>203</v>
      </c>
      <c r="F209" s="8" t="s">
        <v>203</v>
      </c>
      <c r="G209" s="8" t="s">
        <v>203</v>
      </c>
      <c r="H209" s="8" t="s">
        <v>203</v>
      </c>
      <c r="I209" s="8" t="s">
        <v>203</v>
      </c>
      <c r="J209" s="8" t="s">
        <v>203</v>
      </c>
      <c r="K209" s="8" t="s">
        <v>203</v>
      </c>
      <c r="L209" s="8" t="s">
        <v>203</v>
      </c>
      <c r="M209" s="8" t="s">
        <v>203</v>
      </c>
      <c r="N209" s="8" t="s">
        <v>203</v>
      </c>
      <c r="O209" s="8" t="s">
        <v>203</v>
      </c>
      <c r="P209" s="8" t="s">
        <v>203</v>
      </c>
      <c r="Q209" s="8" t="s">
        <v>203</v>
      </c>
      <c r="R209" s="8" t="s">
        <v>203</v>
      </c>
      <c r="S209" s="8" t="s">
        <v>203</v>
      </c>
    </row>
    <row r="210" spans="1:19" x14ac:dyDescent="0.25">
      <c r="A210" t="s">
        <v>204</v>
      </c>
      <c r="B210">
        <v>13</v>
      </c>
      <c r="C210">
        <v>56</v>
      </c>
      <c r="D210">
        <f t="shared" ref="D210:D251" si="66">B210+C210</f>
        <v>69</v>
      </c>
      <c r="E210">
        <v>13</v>
      </c>
      <c r="F210">
        <v>56</v>
      </c>
      <c r="G210">
        <f t="shared" ref="G210:G251" si="67">E210+F210</f>
        <v>69</v>
      </c>
      <c r="H210">
        <v>0</v>
      </c>
      <c r="I210">
        <v>0</v>
      </c>
      <c r="J210">
        <f t="shared" ref="J210:J251" si="68">H210+I210</f>
        <v>0</v>
      </c>
      <c r="K210">
        <v>0</v>
      </c>
      <c r="L210">
        <v>0</v>
      </c>
      <c r="M210">
        <f t="shared" ref="M210:M251" si="69">K210+L210</f>
        <v>0</v>
      </c>
      <c r="N210">
        <v>0</v>
      </c>
      <c r="O210">
        <v>0</v>
      </c>
      <c r="P210">
        <f t="shared" ref="P210:P251" si="70">N210+O210</f>
        <v>0</v>
      </c>
      <c r="Q210">
        <v>0</v>
      </c>
      <c r="R210">
        <v>0</v>
      </c>
      <c r="S210">
        <f t="shared" ref="S210:S251" si="71">Q210+R210</f>
        <v>0</v>
      </c>
    </row>
    <row r="211" spans="1:19" x14ac:dyDescent="0.25">
      <c r="A211" t="s">
        <v>205</v>
      </c>
      <c r="B211">
        <v>0</v>
      </c>
      <c r="C211">
        <v>0</v>
      </c>
      <c r="D211">
        <f t="shared" si="66"/>
        <v>0</v>
      </c>
      <c r="E211">
        <v>0</v>
      </c>
      <c r="F211">
        <v>0</v>
      </c>
      <c r="G211">
        <f t="shared" si="67"/>
        <v>0</v>
      </c>
      <c r="H211">
        <v>0</v>
      </c>
      <c r="I211">
        <v>0</v>
      </c>
      <c r="J211">
        <f t="shared" si="68"/>
        <v>0</v>
      </c>
      <c r="K211">
        <v>0</v>
      </c>
      <c r="L211">
        <v>0</v>
      </c>
      <c r="M211">
        <f t="shared" si="69"/>
        <v>0</v>
      </c>
      <c r="N211">
        <v>0</v>
      </c>
      <c r="O211">
        <v>0</v>
      </c>
      <c r="P211">
        <f t="shared" si="70"/>
        <v>0</v>
      </c>
      <c r="Q211">
        <v>0</v>
      </c>
      <c r="R211">
        <v>0</v>
      </c>
      <c r="S211">
        <f t="shared" si="71"/>
        <v>0</v>
      </c>
    </row>
    <row r="212" spans="1:19" x14ac:dyDescent="0.25">
      <c r="A212" t="s">
        <v>206</v>
      </c>
      <c r="B212">
        <v>0</v>
      </c>
      <c r="C212">
        <v>0</v>
      </c>
      <c r="D212">
        <f t="shared" si="66"/>
        <v>0</v>
      </c>
      <c r="E212">
        <v>0</v>
      </c>
      <c r="F212">
        <v>0</v>
      </c>
      <c r="G212">
        <f t="shared" si="67"/>
        <v>0</v>
      </c>
      <c r="H212">
        <v>0</v>
      </c>
      <c r="I212">
        <v>0</v>
      </c>
      <c r="J212">
        <f t="shared" si="68"/>
        <v>0</v>
      </c>
      <c r="K212">
        <v>0</v>
      </c>
      <c r="L212">
        <v>0</v>
      </c>
      <c r="M212">
        <f t="shared" si="69"/>
        <v>0</v>
      </c>
      <c r="N212">
        <v>0</v>
      </c>
      <c r="O212">
        <v>0</v>
      </c>
      <c r="P212">
        <f t="shared" si="70"/>
        <v>0</v>
      </c>
      <c r="Q212">
        <v>0</v>
      </c>
      <c r="R212">
        <v>0</v>
      </c>
      <c r="S212">
        <f t="shared" si="71"/>
        <v>0</v>
      </c>
    </row>
    <row r="213" spans="1:19" x14ac:dyDescent="0.25">
      <c r="A213" t="s">
        <v>207</v>
      </c>
      <c r="B213">
        <v>0</v>
      </c>
      <c r="C213">
        <v>63</v>
      </c>
      <c r="D213">
        <f t="shared" si="66"/>
        <v>63</v>
      </c>
      <c r="E213">
        <v>0</v>
      </c>
      <c r="F213">
        <v>53</v>
      </c>
      <c r="G213">
        <f t="shared" si="67"/>
        <v>53</v>
      </c>
      <c r="H213">
        <v>0</v>
      </c>
      <c r="I213">
        <v>1</v>
      </c>
      <c r="J213">
        <f t="shared" si="68"/>
        <v>1</v>
      </c>
      <c r="K213">
        <v>0</v>
      </c>
      <c r="L213">
        <v>3</v>
      </c>
      <c r="M213">
        <f t="shared" si="69"/>
        <v>3</v>
      </c>
      <c r="N213">
        <v>0</v>
      </c>
      <c r="O213">
        <v>1</v>
      </c>
      <c r="P213">
        <f t="shared" si="70"/>
        <v>1</v>
      </c>
      <c r="Q213">
        <v>0</v>
      </c>
      <c r="R213">
        <v>5</v>
      </c>
      <c r="S213">
        <f t="shared" si="71"/>
        <v>5</v>
      </c>
    </row>
    <row r="214" spans="1:19" x14ac:dyDescent="0.25">
      <c r="A214" t="s">
        <v>208</v>
      </c>
      <c r="B214">
        <v>2</v>
      </c>
      <c r="C214">
        <v>68</v>
      </c>
      <c r="D214">
        <f t="shared" si="66"/>
        <v>70</v>
      </c>
      <c r="E214">
        <v>2</v>
      </c>
      <c r="F214">
        <v>68</v>
      </c>
      <c r="G214">
        <f t="shared" si="67"/>
        <v>70</v>
      </c>
      <c r="H214">
        <v>0</v>
      </c>
      <c r="I214">
        <v>0</v>
      </c>
      <c r="J214">
        <f t="shared" si="68"/>
        <v>0</v>
      </c>
      <c r="K214">
        <v>0</v>
      </c>
      <c r="L214">
        <v>0</v>
      </c>
      <c r="M214">
        <f t="shared" si="69"/>
        <v>0</v>
      </c>
      <c r="N214">
        <v>0</v>
      </c>
      <c r="O214">
        <v>0</v>
      </c>
      <c r="P214">
        <f t="shared" si="70"/>
        <v>0</v>
      </c>
      <c r="Q214">
        <v>0</v>
      </c>
      <c r="R214">
        <v>0</v>
      </c>
      <c r="S214">
        <f t="shared" si="71"/>
        <v>0</v>
      </c>
    </row>
    <row r="215" spans="1:19" x14ac:dyDescent="0.25">
      <c r="A215" t="s">
        <v>209</v>
      </c>
      <c r="B215">
        <v>0</v>
      </c>
      <c r="C215">
        <v>2</v>
      </c>
      <c r="D215">
        <f t="shared" si="66"/>
        <v>2</v>
      </c>
      <c r="E215">
        <v>0</v>
      </c>
      <c r="F215">
        <v>2</v>
      </c>
      <c r="G215">
        <f t="shared" si="67"/>
        <v>2</v>
      </c>
      <c r="H215">
        <v>0</v>
      </c>
      <c r="I215">
        <v>0</v>
      </c>
      <c r="J215">
        <f t="shared" si="68"/>
        <v>0</v>
      </c>
      <c r="K215">
        <v>0</v>
      </c>
      <c r="L215">
        <v>0</v>
      </c>
      <c r="M215">
        <f t="shared" si="69"/>
        <v>0</v>
      </c>
      <c r="N215">
        <v>0</v>
      </c>
      <c r="O215">
        <v>0</v>
      </c>
      <c r="P215">
        <f t="shared" si="70"/>
        <v>0</v>
      </c>
      <c r="Q215">
        <v>0</v>
      </c>
      <c r="R215">
        <v>0</v>
      </c>
      <c r="S215">
        <f t="shared" si="71"/>
        <v>0</v>
      </c>
    </row>
    <row r="216" spans="1:19" x14ac:dyDescent="0.25">
      <c r="A216" t="s">
        <v>210</v>
      </c>
      <c r="B216">
        <v>0</v>
      </c>
      <c r="C216">
        <v>87</v>
      </c>
      <c r="D216">
        <f t="shared" si="66"/>
        <v>87</v>
      </c>
      <c r="E216">
        <v>0</v>
      </c>
      <c r="F216">
        <v>87</v>
      </c>
      <c r="G216">
        <f t="shared" si="67"/>
        <v>87</v>
      </c>
      <c r="H216">
        <v>0</v>
      </c>
      <c r="I216">
        <v>0</v>
      </c>
      <c r="J216">
        <f t="shared" si="68"/>
        <v>0</v>
      </c>
      <c r="K216">
        <v>0</v>
      </c>
      <c r="L216">
        <v>0</v>
      </c>
      <c r="M216">
        <f t="shared" si="69"/>
        <v>0</v>
      </c>
      <c r="N216">
        <v>0</v>
      </c>
      <c r="O216">
        <v>0</v>
      </c>
      <c r="P216">
        <f t="shared" si="70"/>
        <v>0</v>
      </c>
      <c r="Q216">
        <v>0</v>
      </c>
      <c r="R216">
        <v>0</v>
      </c>
      <c r="S216">
        <f t="shared" si="71"/>
        <v>0</v>
      </c>
    </row>
    <row r="217" spans="1:19" x14ac:dyDescent="0.25">
      <c r="A217" t="s">
        <v>211</v>
      </c>
      <c r="B217">
        <v>1</v>
      </c>
      <c r="C217">
        <v>0</v>
      </c>
      <c r="D217">
        <f t="shared" si="66"/>
        <v>1</v>
      </c>
      <c r="E217">
        <v>1</v>
      </c>
      <c r="F217">
        <v>0</v>
      </c>
      <c r="G217">
        <f t="shared" si="67"/>
        <v>1</v>
      </c>
      <c r="H217">
        <v>0</v>
      </c>
      <c r="I217">
        <v>0</v>
      </c>
      <c r="J217">
        <f t="shared" si="68"/>
        <v>0</v>
      </c>
      <c r="K217">
        <v>0</v>
      </c>
      <c r="L217">
        <v>0</v>
      </c>
      <c r="M217">
        <f t="shared" si="69"/>
        <v>0</v>
      </c>
      <c r="N217">
        <v>0</v>
      </c>
      <c r="O217">
        <v>0</v>
      </c>
      <c r="P217">
        <f t="shared" si="70"/>
        <v>0</v>
      </c>
      <c r="Q217">
        <v>0</v>
      </c>
      <c r="R217">
        <v>0</v>
      </c>
      <c r="S217">
        <f t="shared" si="71"/>
        <v>0</v>
      </c>
    </row>
    <row r="218" spans="1:19" x14ac:dyDescent="0.25">
      <c r="A218" t="s">
        <v>212</v>
      </c>
      <c r="B218">
        <v>14</v>
      </c>
      <c r="C218">
        <v>48</v>
      </c>
      <c r="D218">
        <f t="shared" si="66"/>
        <v>62</v>
      </c>
      <c r="E218">
        <v>10</v>
      </c>
      <c r="F218">
        <v>32</v>
      </c>
      <c r="G218">
        <f t="shared" si="67"/>
        <v>42</v>
      </c>
      <c r="H218">
        <v>3</v>
      </c>
      <c r="I218">
        <v>14</v>
      </c>
      <c r="J218">
        <f t="shared" si="68"/>
        <v>17</v>
      </c>
      <c r="K218">
        <v>1</v>
      </c>
      <c r="L218">
        <v>2</v>
      </c>
      <c r="M218">
        <f t="shared" si="69"/>
        <v>3</v>
      </c>
      <c r="N218">
        <v>0</v>
      </c>
      <c r="O218">
        <v>0</v>
      </c>
      <c r="P218">
        <f t="shared" si="70"/>
        <v>0</v>
      </c>
      <c r="Q218">
        <v>0</v>
      </c>
      <c r="R218">
        <v>0</v>
      </c>
      <c r="S218">
        <f t="shared" si="71"/>
        <v>0</v>
      </c>
    </row>
    <row r="219" spans="1:19" x14ac:dyDescent="0.25">
      <c r="A219" t="s">
        <v>213</v>
      </c>
      <c r="B219">
        <v>4</v>
      </c>
      <c r="C219">
        <v>10</v>
      </c>
      <c r="D219">
        <f t="shared" si="66"/>
        <v>14</v>
      </c>
      <c r="E219">
        <v>2</v>
      </c>
      <c r="F219">
        <v>10</v>
      </c>
      <c r="G219">
        <f t="shared" si="67"/>
        <v>12</v>
      </c>
      <c r="H219">
        <v>2</v>
      </c>
      <c r="I219">
        <v>0</v>
      </c>
      <c r="J219">
        <f t="shared" si="68"/>
        <v>2</v>
      </c>
      <c r="K219">
        <v>0</v>
      </c>
      <c r="L219">
        <v>0</v>
      </c>
      <c r="M219">
        <f t="shared" si="69"/>
        <v>0</v>
      </c>
      <c r="N219">
        <v>0</v>
      </c>
      <c r="O219">
        <v>0</v>
      </c>
      <c r="P219">
        <f t="shared" si="70"/>
        <v>0</v>
      </c>
      <c r="Q219">
        <v>0</v>
      </c>
      <c r="R219">
        <v>0</v>
      </c>
      <c r="S219">
        <f t="shared" si="71"/>
        <v>0</v>
      </c>
    </row>
    <row r="220" spans="1:19" x14ac:dyDescent="0.25">
      <c r="A220" t="s">
        <v>214</v>
      </c>
      <c r="B220">
        <v>0</v>
      </c>
      <c r="C220">
        <v>18</v>
      </c>
      <c r="D220">
        <f t="shared" si="66"/>
        <v>18</v>
      </c>
      <c r="E220">
        <v>0</v>
      </c>
      <c r="F220">
        <v>18</v>
      </c>
      <c r="G220">
        <f t="shared" si="67"/>
        <v>18</v>
      </c>
      <c r="H220">
        <v>0</v>
      </c>
      <c r="I220">
        <v>0</v>
      </c>
      <c r="J220">
        <f t="shared" si="68"/>
        <v>0</v>
      </c>
      <c r="K220">
        <v>0</v>
      </c>
      <c r="L220">
        <v>0</v>
      </c>
      <c r="M220">
        <f t="shared" si="69"/>
        <v>0</v>
      </c>
      <c r="N220">
        <v>0</v>
      </c>
      <c r="O220">
        <v>0</v>
      </c>
      <c r="P220">
        <f t="shared" si="70"/>
        <v>0</v>
      </c>
      <c r="Q220">
        <v>0</v>
      </c>
      <c r="R220">
        <v>0</v>
      </c>
      <c r="S220">
        <f t="shared" si="71"/>
        <v>0</v>
      </c>
    </row>
    <row r="221" spans="1:19" x14ac:dyDescent="0.25">
      <c r="A221" t="s">
        <v>215</v>
      </c>
      <c r="B221">
        <v>7</v>
      </c>
      <c r="C221">
        <v>82</v>
      </c>
      <c r="D221">
        <f t="shared" si="66"/>
        <v>89</v>
      </c>
      <c r="E221">
        <v>7</v>
      </c>
      <c r="F221">
        <v>81</v>
      </c>
      <c r="G221">
        <f t="shared" si="67"/>
        <v>88</v>
      </c>
      <c r="H221">
        <v>0</v>
      </c>
      <c r="I221">
        <v>1</v>
      </c>
      <c r="J221">
        <f t="shared" si="68"/>
        <v>1</v>
      </c>
      <c r="K221">
        <v>0</v>
      </c>
      <c r="L221">
        <v>0</v>
      </c>
      <c r="M221">
        <f t="shared" si="69"/>
        <v>0</v>
      </c>
      <c r="N221">
        <v>0</v>
      </c>
      <c r="O221">
        <v>0</v>
      </c>
      <c r="P221">
        <f t="shared" si="70"/>
        <v>0</v>
      </c>
      <c r="Q221">
        <v>0</v>
      </c>
      <c r="R221">
        <v>0</v>
      </c>
      <c r="S221">
        <f t="shared" si="71"/>
        <v>0</v>
      </c>
    </row>
    <row r="222" spans="1:19" x14ac:dyDescent="0.25">
      <c r="A222" t="s">
        <v>216</v>
      </c>
      <c r="B222">
        <v>1</v>
      </c>
      <c r="C222">
        <v>19</v>
      </c>
      <c r="D222">
        <f t="shared" si="66"/>
        <v>20</v>
      </c>
      <c r="E222">
        <v>1</v>
      </c>
      <c r="F222">
        <v>19</v>
      </c>
      <c r="G222">
        <f t="shared" si="67"/>
        <v>20</v>
      </c>
      <c r="H222">
        <v>0</v>
      </c>
      <c r="I222">
        <v>0</v>
      </c>
      <c r="J222">
        <f t="shared" si="68"/>
        <v>0</v>
      </c>
      <c r="K222">
        <v>0</v>
      </c>
      <c r="L222">
        <v>0</v>
      </c>
      <c r="M222">
        <f t="shared" si="69"/>
        <v>0</v>
      </c>
      <c r="N222">
        <v>0</v>
      </c>
      <c r="O222">
        <v>0</v>
      </c>
      <c r="P222">
        <f t="shared" si="70"/>
        <v>0</v>
      </c>
      <c r="Q222">
        <v>0</v>
      </c>
      <c r="R222">
        <v>0</v>
      </c>
      <c r="S222">
        <f t="shared" si="71"/>
        <v>0</v>
      </c>
    </row>
    <row r="223" spans="1:19" x14ac:dyDescent="0.25">
      <c r="A223" t="s">
        <v>217</v>
      </c>
      <c r="B223">
        <v>0</v>
      </c>
      <c r="C223">
        <v>2</v>
      </c>
      <c r="D223">
        <f t="shared" si="66"/>
        <v>2</v>
      </c>
      <c r="E223">
        <v>0</v>
      </c>
      <c r="F223">
        <v>2</v>
      </c>
      <c r="G223">
        <f t="shared" si="67"/>
        <v>2</v>
      </c>
      <c r="H223">
        <v>0</v>
      </c>
      <c r="I223">
        <v>0</v>
      </c>
      <c r="J223">
        <f t="shared" si="68"/>
        <v>0</v>
      </c>
      <c r="K223">
        <v>0</v>
      </c>
      <c r="L223">
        <v>0</v>
      </c>
      <c r="M223">
        <f t="shared" si="69"/>
        <v>0</v>
      </c>
      <c r="N223">
        <v>0</v>
      </c>
      <c r="O223">
        <v>0</v>
      </c>
      <c r="P223">
        <f t="shared" si="70"/>
        <v>0</v>
      </c>
      <c r="Q223">
        <v>0</v>
      </c>
      <c r="R223">
        <v>0</v>
      </c>
      <c r="S223">
        <f t="shared" si="71"/>
        <v>0</v>
      </c>
    </row>
    <row r="224" spans="1:19" x14ac:dyDescent="0.25">
      <c r="A224" t="s">
        <v>218</v>
      </c>
      <c r="B224">
        <v>0</v>
      </c>
      <c r="C224">
        <v>17</v>
      </c>
      <c r="D224">
        <f t="shared" si="66"/>
        <v>17</v>
      </c>
      <c r="E224">
        <v>0</v>
      </c>
      <c r="F224">
        <v>17</v>
      </c>
      <c r="G224">
        <f t="shared" si="67"/>
        <v>17</v>
      </c>
      <c r="H224">
        <v>0</v>
      </c>
      <c r="I224">
        <v>0</v>
      </c>
      <c r="J224">
        <f t="shared" si="68"/>
        <v>0</v>
      </c>
      <c r="K224">
        <v>0</v>
      </c>
      <c r="L224">
        <v>0</v>
      </c>
      <c r="M224">
        <f t="shared" si="69"/>
        <v>0</v>
      </c>
      <c r="N224">
        <v>0</v>
      </c>
      <c r="O224">
        <v>0</v>
      </c>
      <c r="P224">
        <f t="shared" si="70"/>
        <v>0</v>
      </c>
      <c r="Q224">
        <v>0</v>
      </c>
      <c r="R224">
        <v>0</v>
      </c>
      <c r="S224">
        <f t="shared" si="71"/>
        <v>0</v>
      </c>
    </row>
    <row r="225" spans="1:19" x14ac:dyDescent="0.25">
      <c r="A225" t="s">
        <v>219</v>
      </c>
      <c r="B225">
        <v>10</v>
      </c>
      <c r="C225">
        <v>185</v>
      </c>
      <c r="D225">
        <f t="shared" si="66"/>
        <v>195</v>
      </c>
      <c r="E225">
        <v>10</v>
      </c>
      <c r="F225">
        <v>185</v>
      </c>
      <c r="G225">
        <f t="shared" si="67"/>
        <v>195</v>
      </c>
      <c r="H225">
        <v>0</v>
      </c>
      <c r="I225">
        <v>0</v>
      </c>
      <c r="J225">
        <f t="shared" si="68"/>
        <v>0</v>
      </c>
      <c r="K225">
        <v>0</v>
      </c>
      <c r="L225">
        <v>0</v>
      </c>
      <c r="M225">
        <f t="shared" si="69"/>
        <v>0</v>
      </c>
      <c r="N225">
        <v>0</v>
      </c>
      <c r="O225">
        <v>0</v>
      </c>
      <c r="P225">
        <f t="shared" si="70"/>
        <v>0</v>
      </c>
      <c r="Q225">
        <v>0</v>
      </c>
      <c r="R225">
        <v>0</v>
      </c>
      <c r="S225">
        <f t="shared" si="71"/>
        <v>0</v>
      </c>
    </row>
    <row r="226" spans="1:19" x14ac:dyDescent="0.25">
      <c r="A226" t="s">
        <v>220</v>
      </c>
      <c r="B226">
        <v>0</v>
      </c>
      <c r="C226">
        <v>0</v>
      </c>
      <c r="D226">
        <f t="shared" si="66"/>
        <v>0</v>
      </c>
      <c r="E226">
        <v>0</v>
      </c>
      <c r="F226">
        <v>0</v>
      </c>
      <c r="G226">
        <f t="shared" si="67"/>
        <v>0</v>
      </c>
      <c r="H226">
        <v>0</v>
      </c>
      <c r="I226">
        <v>0</v>
      </c>
      <c r="J226">
        <f t="shared" si="68"/>
        <v>0</v>
      </c>
      <c r="K226">
        <v>0</v>
      </c>
      <c r="L226">
        <v>0</v>
      </c>
      <c r="M226">
        <f t="shared" si="69"/>
        <v>0</v>
      </c>
      <c r="N226">
        <v>0</v>
      </c>
      <c r="O226">
        <v>0</v>
      </c>
      <c r="P226">
        <f t="shared" si="70"/>
        <v>0</v>
      </c>
      <c r="Q226">
        <v>0</v>
      </c>
      <c r="R226">
        <v>0</v>
      </c>
      <c r="S226">
        <f t="shared" si="71"/>
        <v>0</v>
      </c>
    </row>
    <row r="227" spans="1:19" x14ac:dyDescent="0.25">
      <c r="A227" t="s">
        <v>221</v>
      </c>
      <c r="B227">
        <v>0</v>
      </c>
      <c r="C227">
        <v>3</v>
      </c>
      <c r="D227">
        <f t="shared" si="66"/>
        <v>3</v>
      </c>
      <c r="E227">
        <v>0</v>
      </c>
      <c r="F227">
        <v>2</v>
      </c>
      <c r="G227">
        <f t="shared" si="67"/>
        <v>2</v>
      </c>
      <c r="H227">
        <v>0</v>
      </c>
      <c r="I227">
        <v>1</v>
      </c>
      <c r="J227">
        <f t="shared" si="68"/>
        <v>1</v>
      </c>
      <c r="K227">
        <v>0</v>
      </c>
      <c r="L227">
        <v>0</v>
      </c>
      <c r="M227">
        <f t="shared" si="69"/>
        <v>0</v>
      </c>
      <c r="N227">
        <v>0</v>
      </c>
      <c r="O227">
        <v>0</v>
      </c>
      <c r="P227">
        <f t="shared" si="70"/>
        <v>0</v>
      </c>
      <c r="Q227">
        <v>0</v>
      </c>
      <c r="R227">
        <v>0</v>
      </c>
      <c r="S227">
        <f t="shared" si="71"/>
        <v>0</v>
      </c>
    </row>
    <row r="228" spans="1:19" x14ac:dyDescent="0.25">
      <c r="A228" t="s">
        <v>222</v>
      </c>
      <c r="B228">
        <v>0</v>
      </c>
      <c r="C228">
        <v>4</v>
      </c>
      <c r="D228">
        <f t="shared" si="66"/>
        <v>4</v>
      </c>
      <c r="E228">
        <v>0</v>
      </c>
      <c r="F228">
        <v>4</v>
      </c>
      <c r="G228">
        <f t="shared" si="67"/>
        <v>4</v>
      </c>
      <c r="H228">
        <v>0</v>
      </c>
      <c r="I228">
        <v>0</v>
      </c>
      <c r="J228">
        <f t="shared" si="68"/>
        <v>0</v>
      </c>
      <c r="K228">
        <v>0</v>
      </c>
      <c r="L228">
        <v>0</v>
      </c>
      <c r="M228">
        <f t="shared" si="69"/>
        <v>0</v>
      </c>
      <c r="N228">
        <v>0</v>
      </c>
      <c r="O228">
        <v>0</v>
      </c>
      <c r="P228">
        <f t="shared" si="70"/>
        <v>0</v>
      </c>
      <c r="Q228">
        <v>0</v>
      </c>
      <c r="R228">
        <v>0</v>
      </c>
      <c r="S228">
        <f t="shared" si="71"/>
        <v>0</v>
      </c>
    </row>
    <row r="229" spans="1:19" x14ac:dyDescent="0.25">
      <c r="A229" t="s">
        <v>223</v>
      </c>
      <c r="B229">
        <v>0</v>
      </c>
      <c r="C229">
        <v>0</v>
      </c>
      <c r="D229">
        <f t="shared" si="66"/>
        <v>0</v>
      </c>
      <c r="E229">
        <v>0</v>
      </c>
      <c r="F229">
        <v>0</v>
      </c>
      <c r="G229">
        <f t="shared" si="67"/>
        <v>0</v>
      </c>
      <c r="H229">
        <v>0</v>
      </c>
      <c r="I229">
        <v>0</v>
      </c>
      <c r="J229">
        <f t="shared" si="68"/>
        <v>0</v>
      </c>
      <c r="K229">
        <v>0</v>
      </c>
      <c r="L229">
        <v>0</v>
      </c>
      <c r="M229">
        <f t="shared" si="69"/>
        <v>0</v>
      </c>
      <c r="N229">
        <v>0</v>
      </c>
      <c r="O229">
        <v>0</v>
      </c>
      <c r="P229">
        <f t="shared" si="70"/>
        <v>0</v>
      </c>
      <c r="Q229">
        <v>0</v>
      </c>
      <c r="R229">
        <v>0</v>
      </c>
      <c r="S229">
        <f t="shared" si="71"/>
        <v>0</v>
      </c>
    </row>
    <row r="230" spans="1:19" x14ac:dyDescent="0.25">
      <c r="A230" t="s">
        <v>224</v>
      </c>
      <c r="B230">
        <v>0</v>
      </c>
      <c r="C230">
        <v>19</v>
      </c>
      <c r="D230">
        <f t="shared" si="66"/>
        <v>19</v>
      </c>
      <c r="E230">
        <v>0</v>
      </c>
      <c r="F230">
        <v>18</v>
      </c>
      <c r="G230">
        <f t="shared" si="67"/>
        <v>18</v>
      </c>
      <c r="H230">
        <v>0</v>
      </c>
      <c r="I230">
        <v>1</v>
      </c>
      <c r="J230">
        <f t="shared" si="68"/>
        <v>1</v>
      </c>
      <c r="K230">
        <v>0</v>
      </c>
      <c r="L230">
        <v>0</v>
      </c>
      <c r="M230">
        <f t="shared" si="69"/>
        <v>0</v>
      </c>
      <c r="N230">
        <v>0</v>
      </c>
      <c r="O230">
        <v>0</v>
      </c>
      <c r="P230">
        <f t="shared" si="70"/>
        <v>0</v>
      </c>
      <c r="Q230">
        <v>0</v>
      </c>
      <c r="R230">
        <v>0</v>
      </c>
      <c r="S230">
        <f t="shared" si="71"/>
        <v>0</v>
      </c>
    </row>
    <row r="231" spans="1:19" x14ac:dyDescent="0.25">
      <c r="A231" t="s">
        <v>225</v>
      </c>
      <c r="B231">
        <v>0</v>
      </c>
      <c r="C231">
        <v>5</v>
      </c>
      <c r="D231">
        <f t="shared" si="66"/>
        <v>5</v>
      </c>
      <c r="E231">
        <v>0</v>
      </c>
      <c r="F231">
        <v>5</v>
      </c>
      <c r="G231">
        <f t="shared" si="67"/>
        <v>5</v>
      </c>
      <c r="H231">
        <v>0</v>
      </c>
      <c r="I231">
        <v>0</v>
      </c>
      <c r="J231">
        <f t="shared" si="68"/>
        <v>0</v>
      </c>
      <c r="K231">
        <v>0</v>
      </c>
      <c r="L231">
        <v>0</v>
      </c>
      <c r="M231">
        <f t="shared" si="69"/>
        <v>0</v>
      </c>
      <c r="N231">
        <v>0</v>
      </c>
      <c r="O231">
        <v>0</v>
      </c>
      <c r="P231">
        <f t="shared" si="70"/>
        <v>0</v>
      </c>
      <c r="Q231">
        <v>0</v>
      </c>
      <c r="R231">
        <v>0</v>
      </c>
      <c r="S231">
        <f t="shared" si="71"/>
        <v>0</v>
      </c>
    </row>
    <row r="232" spans="1:19" x14ac:dyDescent="0.25">
      <c r="A232" t="s">
        <v>226</v>
      </c>
      <c r="B232">
        <v>0</v>
      </c>
      <c r="C232">
        <v>0</v>
      </c>
      <c r="D232">
        <f t="shared" si="66"/>
        <v>0</v>
      </c>
      <c r="E232">
        <v>0</v>
      </c>
      <c r="F232">
        <v>0</v>
      </c>
      <c r="G232">
        <f t="shared" si="67"/>
        <v>0</v>
      </c>
      <c r="H232">
        <v>0</v>
      </c>
      <c r="I232">
        <v>0</v>
      </c>
      <c r="J232">
        <f t="shared" si="68"/>
        <v>0</v>
      </c>
      <c r="K232">
        <v>0</v>
      </c>
      <c r="L232">
        <v>0</v>
      </c>
      <c r="M232">
        <f t="shared" si="69"/>
        <v>0</v>
      </c>
      <c r="N232">
        <v>0</v>
      </c>
      <c r="O232">
        <v>0</v>
      </c>
      <c r="P232">
        <f t="shared" si="70"/>
        <v>0</v>
      </c>
      <c r="Q232">
        <v>0</v>
      </c>
      <c r="R232">
        <v>0</v>
      </c>
      <c r="S232">
        <f t="shared" si="71"/>
        <v>0</v>
      </c>
    </row>
    <row r="233" spans="1:19" x14ac:dyDescent="0.25">
      <c r="A233" t="s">
        <v>227</v>
      </c>
      <c r="B233">
        <v>0</v>
      </c>
      <c r="C233">
        <v>0</v>
      </c>
      <c r="D233">
        <f t="shared" si="66"/>
        <v>0</v>
      </c>
      <c r="E233">
        <v>0</v>
      </c>
      <c r="F233">
        <v>0</v>
      </c>
      <c r="G233">
        <f t="shared" si="67"/>
        <v>0</v>
      </c>
      <c r="H233">
        <v>0</v>
      </c>
      <c r="I233">
        <v>0</v>
      </c>
      <c r="J233">
        <f t="shared" si="68"/>
        <v>0</v>
      </c>
      <c r="K233">
        <v>0</v>
      </c>
      <c r="L233">
        <v>0</v>
      </c>
      <c r="M233">
        <f t="shared" si="69"/>
        <v>0</v>
      </c>
      <c r="N233">
        <v>0</v>
      </c>
      <c r="O233">
        <v>0</v>
      </c>
      <c r="P233">
        <f t="shared" si="70"/>
        <v>0</v>
      </c>
      <c r="Q233">
        <v>0</v>
      </c>
      <c r="R233">
        <v>0</v>
      </c>
      <c r="S233">
        <f t="shared" si="71"/>
        <v>0</v>
      </c>
    </row>
    <row r="234" spans="1:19" x14ac:dyDescent="0.25">
      <c r="A234" t="s">
        <v>228</v>
      </c>
      <c r="B234">
        <v>0</v>
      </c>
      <c r="C234">
        <v>2</v>
      </c>
      <c r="D234">
        <f t="shared" si="66"/>
        <v>2</v>
      </c>
      <c r="E234">
        <v>0</v>
      </c>
      <c r="F234">
        <v>2</v>
      </c>
      <c r="G234">
        <f t="shared" si="67"/>
        <v>2</v>
      </c>
      <c r="H234">
        <v>0</v>
      </c>
      <c r="I234">
        <v>0</v>
      </c>
      <c r="J234">
        <f t="shared" si="68"/>
        <v>0</v>
      </c>
      <c r="K234">
        <v>0</v>
      </c>
      <c r="L234">
        <v>0</v>
      </c>
      <c r="M234">
        <f t="shared" si="69"/>
        <v>0</v>
      </c>
      <c r="N234">
        <v>0</v>
      </c>
      <c r="O234">
        <v>0</v>
      </c>
      <c r="P234">
        <f t="shared" si="70"/>
        <v>0</v>
      </c>
      <c r="Q234">
        <v>0</v>
      </c>
      <c r="R234">
        <v>0</v>
      </c>
      <c r="S234">
        <f t="shared" si="71"/>
        <v>0</v>
      </c>
    </row>
    <row r="235" spans="1:19" x14ac:dyDescent="0.25">
      <c r="A235" t="s">
        <v>229</v>
      </c>
      <c r="B235">
        <v>0</v>
      </c>
      <c r="C235">
        <v>0</v>
      </c>
      <c r="D235">
        <f t="shared" si="66"/>
        <v>0</v>
      </c>
      <c r="E235">
        <v>0</v>
      </c>
      <c r="F235">
        <v>0</v>
      </c>
      <c r="G235">
        <f t="shared" si="67"/>
        <v>0</v>
      </c>
      <c r="H235">
        <v>0</v>
      </c>
      <c r="I235">
        <v>0</v>
      </c>
      <c r="J235">
        <f t="shared" si="68"/>
        <v>0</v>
      </c>
      <c r="K235">
        <v>0</v>
      </c>
      <c r="L235">
        <v>0</v>
      </c>
      <c r="M235">
        <f t="shared" si="69"/>
        <v>0</v>
      </c>
      <c r="N235">
        <v>0</v>
      </c>
      <c r="O235">
        <v>0</v>
      </c>
      <c r="P235">
        <f t="shared" si="70"/>
        <v>0</v>
      </c>
      <c r="Q235">
        <v>0</v>
      </c>
      <c r="R235">
        <v>0</v>
      </c>
      <c r="S235">
        <f t="shared" si="71"/>
        <v>0</v>
      </c>
    </row>
    <row r="236" spans="1:19" x14ac:dyDescent="0.25">
      <c r="A236" t="s">
        <v>230</v>
      </c>
      <c r="B236">
        <v>0</v>
      </c>
      <c r="C236">
        <v>0</v>
      </c>
      <c r="D236">
        <f t="shared" si="66"/>
        <v>0</v>
      </c>
      <c r="E236">
        <v>0</v>
      </c>
      <c r="F236">
        <v>0</v>
      </c>
      <c r="G236">
        <f t="shared" si="67"/>
        <v>0</v>
      </c>
      <c r="H236">
        <v>0</v>
      </c>
      <c r="I236">
        <v>0</v>
      </c>
      <c r="J236">
        <f t="shared" si="68"/>
        <v>0</v>
      </c>
      <c r="K236">
        <v>0</v>
      </c>
      <c r="L236">
        <v>0</v>
      </c>
      <c r="M236">
        <f t="shared" si="69"/>
        <v>0</v>
      </c>
      <c r="N236">
        <v>0</v>
      </c>
      <c r="O236">
        <v>0</v>
      </c>
      <c r="P236">
        <f t="shared" si="70"/>
        <v>0</v>
      </c>
      <c r="Q236">
        <v>0</v>
      </c>
      <c r="R236">
        <v>0</v>
      </c>
      <c r="S236">
        <f t="shared" si="71"/>
        <v>0</v>
      </c>
    </row>
    <row r="237" spans="1:19" x14ac:dyDescent="0.25">
      <c r="A237" t="s">
        <v>231</v>
      </c>
      <c r="B237">
        <v>3</v>
      </c>
      <c r="C237">
        <v>11</v>
      </c>
      <c r="D237">
        <f t="shared" si="66"/>
        <v>14</v>
      </c>
      <c r="E237">
        <v>3</v>
      </c>
      <c r="F237">
        <v>3</v>
      </c>
      <c r="G237">
        <f t="shared" si="67"/>
        <v>6</v>
      </c>
      <c r="H237">
        <v>0</v>
      </c>
      <c r="I237">
        <v>2</v>
      </c>
      <c r="J237">
        <f t="shared" si="68"/>
        <v>2</v>
      </c>
      <c r="K237">
        <v>0</v>
      </c>
      <c r="L237">
        <v>1</v>
      </c>
      <c r="M237">
        <f t="shared" si="69"/>
        <v>1</v>
      </c>
      <c r="N237">
        <v>0</v>
      </c>
      <c r="O237">
        <v>0</v>
      </c>
      <c r="P237">
        <f t="shared" si="70"/>
        <v>0</v>
      </c>
      <c r="Q237">
        <v>0</v>
      </c>
      <c r="R237">
        <v>5</v>
      </c>
      <c r="S237">
        <f t="shared" si="71"/>
        <v>5</v>
      </c>
    </row>
    <row r="238" spans="1:19" x14ac:dyDescent="0.25">
      <c r="A238" t="s">
        <v>232</v>
      </c>
      <c r="B238">
        <v>1</v>
      </c>
      <c r="C238">
        <v>14</v>
      </c>
      <c r="D238">
        <f t="shared" si="66"/>
        <v>15</v>
      </c>
      <c r="E238">
        <v>1</v>
      </c>
      <c r="F238">
        <v>14</v>
      </c>
      <c r="G238">
        <f t="shared" si="67"/>
        <v>15</v>
      </c>
      <c r="H238">
        <v>0</v>
      </c>
      <c r="I238">
        <v>0</v>
      </c>
      <c r="J238">
        <f t="shared" si="68"/>
        <v>0</v>
      </c>
      <c r="K238">
        <v>0</v>
      </c>
      <c r="L238">
        <v>0</v>
      </c>
      <c r="M238">
        <f t="shared" si="69"/>
        <v>0</v>
      </c>
      <c r="N238">
        <v>0</v>
      </c>
      <c r="O238">
        <v>0</v>
      </c>
      <c r="P238">
        <f t="shared" si="70"/>
        <v>0</v>
      </c>
      <c r="Q238">
        <v>0</v>
      </c>
      <c r="R238">
        <v>0</v>
      </c>
      <c r="S238">
        <f t="shared" si="71"/>
        <v>0</v>
      </c>
    </row>
    <row r="239" spans="1:19" x14ac:dyDescent="0.25">
      <c r="A239" t="s">
        <v>233</v>
      </c>
      <c r="B239">
        <v>0</v>
      </c>
      <c r="C239">
        <v>1</v>
      </c>
      <c r="D239">
        <f t="shared" si="66"/>
        <v>1</v>
      </c>
      <c r="E239">
        <v>0</v>
      </c>
      <c r="F239">
        <v>1</v>
      </c>
      <c r="G239">
        <f t="shared" si="67"/>
        <v>1</v>
      </c>
      <c r="H239">
        <v>0</v>
      </c>
      <c r="I239">
        <v>0</v>
      </c>
      <c r="J239">
        <f t="shared" si="68"/>
        <v>0</v>
      </c>
      <c r="K239">
        <v>0</v>
      </c>
      <c r="L239">
        <v>0</v>
      </c>
      <c r="M239">
        <f t="shared" si="69"/>
        <v>0</v>
      </c>
      <c r="N239">
        <v>0</v>
      </c>
      <c r="O239">
        <v>0</v>
      </c>
      <c r="P239">
        <f t="shared" si="70"/>
        <v>0</v>
      </c>
      <c r="Q239">
        <v>0</v>
      </c>
      <c r="R239">
        <v>0</v>
      </c>
      <c r="S239">
        <f t="shared" si="71"/>
        <v>0</v>
      </c>
    </row>
    <row r="240" spans="1:19" x14ac:dyDescent="0.25">
      <c r="A240" t="s">
        <v>234</v>
      </c>
      <c r="B240">
        <v>0</v>
      </c>
      <c r="C240">
        <v>2</v>
      </c>
      <c r="D240">
        <f t="shared" si="66"/>
        <v>2</v>
      </c>
      <c r="E240">
        <v>0</v>
      </c>
      <c r="F240">
        <v>1</v>
      </c>
      <c r="G240">
        <f t="shared" si="67"/>
        <v>1</v>
      </c>
      <c r="H240">
        <v>0</v>
      </c>
      <c r="I240">
        <v>1</v>
      </c>
      <c r="J240">
        <f t="shared" si="68"/>
        <v>1</v>
      </c>
      <c r="K240">
        <v>0</v>
      </c>
      <c r="L240">
        <v>0</v>
      </c>
      <c r="M240">
        <f t="shared" si="69"/>
        <v>0</v>
      </c>
      <c r="N240">
        <v>0</v>
      </c>
      <c r="O240">
        <v>0</v>
      </c>
      <c r="P240">
        <f t="shared" si="70"/>
        <v>0</v>
      </c>
      <c r="Q240">
        <v>0</v>
      </c>
      <c r="R240">
        <v>0</v>
      </c>
      <c r="S240">
        <f t="shared" si="71"/>
        <v>0</v>
      </c>
    </row>
    <row r="241" spans="1:19" x14ac:dyDescent="0.25">
      <c r="A241" t="s">
        <v>235</v>
      </c>
      <c r="B241">
        <v>2</v>
      </c>
      <c r="C241">
        <v>3</v>
      </c>
      <c r="D241">
        <f t="shared" si="66"/>
        <v>5</v>
      </c>
      <c r="E241">
        <v>2</v>
      </c>
      <c r="F241">
        <v>3</v>
      </c>
      <c r="G241">
        <f t="shared" si="67"/>
        <v>5</v>
      </c>
      <c r="H241">
        <v>0</v>
      </c>
      <c r="I241">
        <v>0</v>
      </c>
      <c r="J241">
        <f t="shared" si="68"/>
        <v>0</v>
      </c>
      <c r="K241">
        <v>0</v>
      </c>
      <c r="L241">
        <v>0</v>
      </c>
      <c r="M241">
        <f t="shared" si="69"/>
        <v>0</v>
      </c>
      <c r="N241">
        <v>0</v>
      </c>
      <c r="O241">
        <v>0</v>
      </c>
      <c r="P241">
        <f t="shared" si="70"/>
        <v>0</v>
      </c>
      <c r="Q241">
        <v>0</v>
      </c>
      <c r="R241">
        <v>0</v>
      </c>
      <c r="S241">
        <f t="shared" si="71"/>
        <v>0</v>
      </c>
    </row>
    <row r="242" spans="1:19" x14ac:dyDescent="0.25">
      <c r="A242" t="s">
        <v>236</v>
      </c>
      <c r="B242">
        <v>0</v>
      </c>
      <c r="C242">
        <v>0</v>
      </c>
      <c r="D242">
        <f t="shared" si="66"/>
        <v>0</v>
      </c>
      <c r="E242">
        <v>0</v>
      </c>
      <c r="F242">
        <v>0</v>
      </c>
      <c r="G242">
        <f t="shared" si="67"/>
        <v>0</v>
      </c>
      <c r="H242">
        <v>0</v>
      </c>
      <c r="I242">
        <v>0</v>
      </c>
      <c r="J242">
        <f t="shared" si="68"/>
        <v>0</v>
      </c>
      <c r="K242">
        <v>0</v>
      </c>
      <c r="L242">
        <v>0</v>
      </c>
      <c r="M242">
        <f t="shared" si="69"/>
        <v>0</v>
      </c>
      <c r="N242">
        <v>0</v>
      </c>
      <c r="O242">
        <v>0</v>
      </c>
      <c r="P242">
        <f t="shared" si="70"/>
        <v>0</v>
      </c>
      <c r="Q242">
        <v>0</v>
      </c>
      <c r="R242">
        <v>0</v>
      </c>
      <c r="S242">
        <f t="shared" si="71"/>
        <v>0</v>
      </c>
    </row>
    <row r="243" spans="1:19" x14ac:dyDescent="0.25">
      <c r="A243" t="s">
        <v>237</v>
      </c>
      <c r="B243">
        <v>0</v>
      </c>
      <c r="C243">
        <v>1</v>
      </c>
      <c r="D243">
        <f t="shared" si="66"/>
        <v>1</v>
      </c>
      <c r="E243">
        <v>0</v>
      </c>
      <c r="F243">
        <v>1</v>
      </c>
      <c r="G243">
        <f t="shared" si="67"/>
        <v>1</v>
      </c>
      <c r="H243">
        <v>0</v>
      </c>
      <c r="I243">
        <v>0</v>
      </c>
      <c r="J243">
        <f t="shared" si="68"/>
        <v>0</v>
      </c>
      <c r="K243">
        <v>0</v>
      </c>
      <c r="L243">
        <v>0</v>
      </c>
      <c r="M243">
        <f t="shared" si="69"/>
        <v>0</v>
      </c>
      <c r="N243">
        <v>0</v>
      </c>
      <c r="O243">
        <v>0</v>
      </c>
      <c r="P243">
        <f t="shared" si="70"/>
        <v>0</v>
      </c>
      <c r="Q243">
        <v>0</v>
      </c>
      <c r="R243">
        <v>0</v>
      </c>
      <c r="S243">
        <f t="shared" si="71"/>
        <v>0</v>
      </c>
    </row>
    <row r="244" spans="1:19" x14ac:dyDescent="0.25">
      <c r="A244" t="s">
        <v>238</v>
      </c>
      <c r="B244">
        <v>0</v>
      </c>
      <c r="C244">
        <v>1</v>
      </c>
      <c r="D244">
        <f t="shared" si="66"/>
        <v>1</v>
      </c>
      <c r="E244">
        <v>0</v>
      </c>
      <c r="F244">
        <v>1</v>
      </c>
      <c r="G244">
        <f t="shared" si="67"/>
        <v>1</v>
      </c>
      <c r="H244">
        <v>0</v>
      </c>
      <c r="I244">
        <v>0</v>
      </c>
      <c r="J244">
        <f t="shared" si="68"/>
        <v>0</v>
      </c>
      <c r="K244">
        <v>0</v>
      </c>
      <c r="L244">
        <v>0</v>
      </c>
      <c r="M244">
        <f t="shared" si="69"/>
        <v>0</v>
      </c>
      <c r="N244">
        <v>0</v>
      </c>
      <c r="O244">
        <v>0</v>
      </c>
      <c r="P244">
        <f t="shared" si="70"/>
        <v>0</v>
      </c>
      <c r="Q244">
        <v>0</v>
      </c>
      <c r="R244">
        <v>0</v>
      </c>
      <c r="S244">
        <f t="shared" si="71"/>
        <v>0</v>
      </c>
    </row>
    <row r="245" spans="1:19" x14ac:dyDescent="0.25">
      <c r="A245" t="s">
        <v>239</v>
      </c>
      <c r="B245">
        <v>0</v>
      </c>
      <c r="C245">
        <v>19</v>
      </c>
      <c r="D245">
        <f t="shared" si="66"/>
        <v>19</v>
      </c>
      <c r="E245">
        <v>0</v>
      </c>
      <c r="F245">
        <v>18</v>
      </c>
      <c r="G245">
        <f t="shared" si="67"/>
        <v>18</v>
      </c>
      <c r="H245">
        <v>0</v>
      </c>
      <c r="I245">
        <v>1</v>
      </c>
      <c r="J245">
        <f t="shared" si="68"/>
        <v>1</v>
      </c>
      <c r="K245">
        <v>0</v>
      </c>
      <c r="L245">
        <v>0</v>
      </c>
      <c r="M245">
        <f t="shared" si="69"/>
        <v>0</v>
      </c>
      <c r="N245">
        <v>0</v>
      </c>
      <c r="O245">
        <v>0</v>
      </c>
      <c r="P245">
        <f t="shared" si="70"/>
        <v>0</v>
      </c>
      <c r="Q245">
        <v>0</v>
      </c>
      <c r="R245">
        <v>0</v>
      </c>
      <c r="S245">
        <f t="shared" si="71"/>
        <v>0</v>
      </c>
    </row>
    <row r="246" spans="1:19" x14ac:dyDescent="0.25">
      <c r="A246" t="s">
        <v>240</v>
      </c>
      <c r="B246">
        <v>0</v>
      </c>
      <c r="C246">
        <v>1</v>
      </c>
      <c r="D246">
        <f t="shared" si="66"/>
        <v>1</v>
      </c>
      <c r="E246">
        <v>0</v>
      </c>
      <c r="F246">
        <v>1</v>
      </c>
      <c r="G246">
        <f t="shared" si="67"/>
        <v>1</v>
      </c>
      <c r="H246">
        <v>0</v>
      </c>
      <c r="I246">
        <v>0</v>
      </c>
      <c r="J246">
        <f t="shared" si="68"/>
        <v>0</v>
      </c>
      <c r="K246">
        <v>0</v>
      </c>
      <c r="L246">
        <v>0</v>
      </c>
      <c r="M246">
        <f t="shared" si="69"/>
        <v>0</v>
      </c>
      <c r="N246">
        <v>0</v>
      </c>
      <c r="O246">
        <v>0</v>
      </c>
      <c r="P246">
        <f t="shared" si="70"/>
        <v>0</v>
      </c>
      <c r="Q246">
        <v>0</v>
      </c>
      <c r="R246">
        <v>0</v>
      </c>
      <c r="S246">
        <f t="shared" si="71"/>
        <v>0</v>
      </c>
    </row>
    <row r="247" spans="1:19" x14ac:dyDescent="0.25">
      <c r="A247" t="s">
        <v>241</v>
      </c>
      <c r="B247">
        <v>92</v>
      </c>
      <c r="C247">
        <v>91</v>
      </c>
      <c r="D247">
        <f t="shared" si="66"/>
        <v>183</v>
      </c>
      <c r="E247">
        <v>90</v>
      </c>
      <c r="F247">
        <v>87</v>
      </c>
      <c r="G247">
        <f t="shared" si="67"/>
        <v>177</v>
      </c>
      <c r="H247">
        <v>2</v>
      </c>
      <c r="I247">
        <v>4</v>
      </c>
      <c r="J247">
        <f t="shared" si="68"/>
        <v>6</v>
      </c>
      <c r="K247">
        <v>0</v>
      </c>
      <c r="L247">
        <v>0</v>
      </c>
      <c r="M247">
        <f t="shared" si="69"/>
        <v>0</v>
      </c>
      <c r="N247">
        <v>0</v>
      </c>
      <c r="O247">
        <v>0</v>
      </c>
      <c r="P247">
        <f t="shared" si="70"/>
        <v>0</v>
      </c>
      <c r="Q247">
        <v>0</v>
      </c>
      <c r="R247">
        <v>0</v>
      </c>
      <c r="S247">
        <f t="shared" si="71"/>
        <v>0</v>
      </c>
    </row>
    <row r="248" spans="1:19" x14ac:dyDescent="0.25">
      <c r="A248" t="s">
        <v>242</v>
      </c>
      <c r="B248">
        <v>0</v>
      </c>
      <c r="C248">
        <v>0</v>
      </c>
      <c r="D248">
        <f t="shared" si="66"/>
        <v>0</v>
      </c>
      <c r="E248">
        <v>0</v>
      </c>
      <c r="F248">
        <v>0</v>
      </c>
      <c r="G248">
        <f t="shared" si="67"/>
        <v>0</v>
      </c>
      <c r="H248">
        <v>0</v>
      </c>
      <c r="I248">
        <v>0</v>
      </c>
      <c r="J248">
        <f t="shared" si="68"/>
        <v>0</v>
      </c>
      <c r="K248">
        <v>0</v>
      </c>
      <c r="L248">
        <v>0</v>
      </c>
      <c r="M248">
        <f t="shared" si="69"/>
        <v>0</v>
      </c>
      <c r="N248">
        <v>0</v>
      </c>
      <c r="O248">
        <v>0</v>
      </c>
      <c r="P248">
        <f t="shared" si="70"/>
        <v>0</v>
      </c>
      <c r="Q248">
        <v>0</v>
      </c>
      <c r="R248">
        <v>0</v>
      </c>
      <c r="S248">
        <f t="shared" si="71"/>
        <v>0</v>
      </c>
    </row>
    <row r="249" spans="1:19" x14ac:dyDescent="0.25">
      <c r="A249" t="s">
        <v>243</v>
      </c>
      <c r="B249">
        <v>1</v>
      </c>
      <c r="C249">
        <v>7</v>
      </c>
      <c r="D249">
        <f t="shared" si="66"/>
        <v>8</v>
      </c>
      <c r="E249">
        <v>1</v>
      </c>
      <c r="F249">
        <v>7</v>
      </c>
      <c r="G249">
        <f t="shared" si="67"/>
        <v>8</v>
      </c>
      <c r="H249">
        <v>0</v>
      </c>
      <c r="I249">
        <v>0</v>
      </c>
      <c r="J249">
        <f t="shared" si="68"/>
        <v>0</v>
      </c>
      <c r="K249">
        <v>0</v>
      </c>
      <c r="L249">
        <v>0</v>
      </c>
      <c r="M249">
        <f t="shared" si="69"/>
        <v>0</v>
      </c>
      <c r="N249">
        <v>0</v>
      </c>
      <c r="O249">
        <v>0</v>
      </c>
      <c r="P249">
        <f t="shared" si="70"/>
        <v>0</v>
      </c>
      <c r="Q249">
        <v>0</v>
      </c>
      <c r="R249">
        <v>0</v>
      </c>
      <c r="S249">
        <f t="shared" si="71"/>
        <v>0</v>
      </c>
    </row>
    <row r="250" spans="1:19" x14ac:dyDescent="0.25">
      <c r="A250" t="s">
        <v>244</v>
      </c>
      <c r="B250">
        <v>0</v>
      </c>
      <c r="C250">
        <v>12</v>
      </c>
      <c r="D250">
        <f t="shared" si="66"/>
        <v>12</v>
      </c>
      <c r="E250">
        <v>0</v>
      </c>
      <c r="F250">
        <v>5</v>
      </c>
      <c r="G250">
        <f t="shared" si="67"/>
        <v>5</v>
      </c>
      <c r="H250">
        <v>0</v>
      </c>
      <c r="I250">
        <v>5</v>
      </c>
      <c r="J250">
        <f t="shared" si="68"/>
        <v>5</v>
      </c>
      <c r="K250">
        <v>0</v>
      </c>
      <c r="L250">
        <v>1</v>
      </c>
      <c r="M250">
        <f t="shared" si="69"/>
        <v>1</v>
      </c>
      <c r="N250">
        <v>0</v>
      </c>
      <c r="O250">
        <v>1</v>
      </c>
      <c r="P250">
        <f t="shared" si="70"/>
        <v>1</v>
      </c>
      <c r="Q250">
        <v>0</v>
      </c>
      <c r="R250">
        <v>0</v>
      </c>
      <c r="S250">
        <f t="shared" si="71"/>
        <v>0</v>
      </c>
    </row>
    <row r="251" spans="1:19" x14ac:dyDescent="0.25">
      <c r="A251" t="s">
        <v>245</v>
      </c>
      <c r="B251">
        <v>10</v>
      </c>
      <c r="C251">
        <v>5</v>
      </c>
      <c r="D251">
        <f t="shared" si="66"/>
        <v>15</v>
      </c>
      <c r="E251">
        <v>10</v>
      </c>
      <c r="F251">
        <v>5</v>
      </c>
      <c r="G251">
        <f t="shared" si="67"/>
        <v>15</v>
      </c>
      <c r="H251">
        <v>0</v>
      </c>
      <c r="I251">
        <v>0</v>
      </c>
      <c r="J251">
        <f t="shared" si="68"/>
        <v>0</v>
      </c>
      <c r="K251">
        <v>0</v>
      </c>
      <c r="L251">
        <v>0</v>
      </c>
      <c r="M251">
        <f t="shared" si="69"/>
        <v>0</v>
      </c>
      <c r="N251">
        <v>0</v>
      </c>
      <c r="O251">
        <v>0</v>
      </c>
      <c r="P251">
        <f t="shared" si="70"/>
        <v>0</v>
      </c>
      <c r="Q251">
        <v>0</v>
      </c>
      <c r="R251">
        <v>0</v>
      </c>
      <c r="S251">
        <f t="shared" si="71"/>
        <v>0</v>
      </c>
    </row>
    <row r="253" spans="1:19" x14ac:dyDescent="0.25">
      <c r="A253" s="8" t="s">
        <v>246</v>
      </c>
      <c r="B253" s="8" t="s">
        <v>246</v>
      </c>
      <c r="C253" s="8" t="s">
        <v>246</v>
      </c>
      <c r="D253" s="8" t="s">
        <v>246</v>
      </c>
      <c r="E253" s="8" t="s">
        <v>246</v>
      </c>
      <c r="F253" s="8" t="s">
        <v>246</v>
      </c>
      <c r="G253" s="8" t="s">
        <v>246</v>
      </c>
      <c r="H253" s="8" t="s">
        <v>246</v>
      </c>
      <c r="I253" s="8" t="s">
        <v>246</v>
      </c>
      <c r="J253" s="8" t="s">
        <v>246</v>
      </c>
      <c r="K253" s="8" t="s">
        <v>246</v>
      </c>
      <c r="L253" s="8" t="s">
        <v>246</v>
      </c>
      <c r="M253" s="8" t="s">
        <v>246</v>
      </c>
      <c r="N253" s="8" t="s">
        <v>246</v>
      </c>
      <c r="O253" s="8" t="s">
        <v>246</v>
      </c>
      <c r="P253" s="8" t="s">
        <v>246</v>
      </c>
      <c r="Q253" s="8" t="s">
        <v>246</v>
      </c>
      <c r="R253" s="8" t="s">
        <v>246</v>
      </c>
      <c r="S253" s="8" t="s">
        <v>246</v>
      </c>
    </row>
    <row r="254" spans="1:19" x14ac:dyDescent="0.25">
      <c r="A254" t="s">
        <v>247</v>
      </c>
      <c r="B254">
        <v>3</v>
      </c>
      <c r="C254">
        <v>1</v>
      </c>
      <c r="D254">
        <f t="shared" ref="D254:D279" si="72">B254+C254</f>
        <v>4</v>
      </c>
      <c r="E254">
        <v>2</v>
      </c>
      <c r="F254">
        <v>1</v>
      </c>
      <c r="G254">
        <f t="shared" ref="G254:G279" si="73">E254+F254</f>
        <v>3</v>
      </c>
      <c r="H254">
        <v>1</v>
      </c>
      <c r="I254">
        <v>0</v>
      </c>
      <c r="J254">
        <f t="shared" ref="J254:J279" si="74">H254+I254</f>
        <v>1</v>
      </c>
      <c r="K254">
        <v>0</v>
      </c>
      <c r="L254">
        <v>0</v>
      </c>
      <c r="M254">
        <f t="shared" ref="M254:M279" si="75">K254+L254</f>
        <v>0</v>
      </c>
      <c r="N254">
        <v>0</v>
      </c>
      <c r="O254">
        <v>0</v>
      </c>
      <c r="P254">
        <f t="shared" ref="P254:P279" si="76">N254+O254</f>
        <v>0</v>
      </c>
      <c r="Q254">
        <v>0</v>
      </c>
      <c r="R254">
        <v>0</v>
      </c>
      <c r="S254">
        <f t="shared" ref="S254:S279" si="77">Q254+R254</f>
        <v>0</v>
      </c>
    </row>
    <row r="255" spans="1:19" x14ac:dyDescent="0.25">
      <c r="A255" t="s">
        <v>248</v>
      </c>
      <c r="B255">
        <v>0</v>
      </c>
      <c r="C255">
        <v>0</v>
      </c>
      <c r="D255">
        <f t="shared" si="72"/>
        <v>0</v>
      </c>
      <c r="E255">
        <v>0</v>
      </c>
      <c r="F255">
        <v>0</v>
      </c>
      <c r="G255">
        <f t="shared" si="73"/>
        <v>0</v>
      </c>
      <c r="H255">
        <v>0</v>
      </c>
      <c r="I255">
        <v>0</v>
      </c>
      <c r="J255">
        <f t="shared" si="74"/>
        <v>0</v>
      </c>
      <c r="K255">
        <v>0</v>
      </c>
      <c r="L255">
        <v>0</v>
      </c>
      <c r="M255">
        <f t="shared" si="75"/>
        <v>0</v>
      </c>
      <c r="N255">
        <v>0</v>
      </c>
      <c r="O255">
        <v>0</v>
      </c>
      <c r="P255">
        <f t="shared" si="76"/>
        <v>0</v>
      </c>
      <c r="Q255">
        <v>0</v>
      </c>
      <c r="R255">
        <v>0</v>
      </c>
      <c r="S255">
        <f t="shared" si="77"/>
        <v>0</v>
      </c>
    </row>
    <row r="256" spans="1:19" x14ac:dyDescent="0.25">
      <c r="A256" t="s">
        <v>249</v>
      </c>
      <c r="B256">
        <v>0</v>
      </c>
      <c r="C256">
        <v>0</v>
      </c>
      <c r="D256">
        <f t="shared" si="72"/>
        <v>0</v>
      </c>
      <c r="E256">
        <v>0</v>
      </c>
      <c r="F256">
        <v>0</v>
      </c>
      <c r="G256">
        <f t="shared" si="73"/>
        <v>0</v>
      </c>
      <c r="H256">
        <v>0</v>
      </c>
      <c r="I256">
        <v>0</v>
      </c>
      <c r="J256">
        <f t="shared" si="74"/>
        <v>0</v>
      </c>
      <c r="K256">
        <v>0</v>
      </c>
      <c r="L256">
        <v>0</v>
      </c>
      <c r="M256">
        <f t="shared" si="75"/>
        <v>0</v>
      </c>
      <c r="N256">
        <v>0</v>
      </c>
      <c r="O256">
        <v>0</v>
      </c>
      <c r="P256">
        <f t="shared" si="76"/>
        <v>0</v>
      </c>
      <c r="Q256">
        <v>0</v>
      </c>
      <c r="R256">
        <v>0</v>
      </c>
      <c r="S256">
        <f t="shared" si="77"/>
        <v>0</v>
      </c>
    </row>
    <row r="257" spans="1:19" x14ac:dyDescent="0.25">
      <c r="A257" t="s">
        <v>250</v>
      </c>
      <c r="B257">
        <v>0</v>
      </c>
      <c r="C257">
        <v>3</v>
      </c>
      <c r="D257">
        <f t="shared" si="72"/>
        <v>3</v>
      </c>
      <c r="E257">
        <v>0</v>
      </c>
      <c r="F257">
        <v>3</v>
      </c>
      <c r="G257">
        <f t="shared" si="73"/>
        <v>3</v>
      </c>
      <c r="H257">
        <v>0</v>
      </c>
      <c r="I257">
        <v>0</v>
      </c>
      <c r="J257">
        <f t="shared" si="74"/>
        <v>0</v>
      </c>
      <c r="K257">
        <v>0</v>
      </c>
      <c r="L257">
        <v>0</v>
      </c>
      <c r="M257">
        <f t="shared" si="75"/>
        <v>0</v>
      </c>
      <c r="N257">
        <v>0</v>
      </c>
      <c r="O257">
        <v>0</v>
      </c>
      <c r="P257">
        <f t="shared" si="76"/>
        <v>0</v>
      </c>
      <c r="Q257">
        <v>0</v>
      </c>
      <c r="R257">
        <v>0</v>
      </c>
      <c r="S257">
        <f t="shared" si="77"/>
        <v>0</v>
      </c>
    </row>
    <row r="258" spans="1:19" x14ac:dyDescent="0.25">
      <c r="A258" t="s">
        <v>251</v>
      </c>
      <c r="B258">
        <v>3</v>
      </c>
      <c r="C258">
        <v>4</v>
      </c>
      <c r="D258">
        <f t="shared" si="72"/>
        <v>7</v>
      </c>
      <c r="E258">
        <v>3</v>
      </c>
      <c r="F258">
        <v>4</v>
      </c>
      <c r="G258">
        <f t="shared" si="73"/>
        <v>7</v>
      </c>
      <c r="H258">
        <v>0</v>
      </c>
      <c r="I258">
        <v>0</v>
      </c>
      <c r="J258">
        <f t="shared" si="74"/>
        <v>0</v>
      </c>
      <c r="K258">
        <v>0</v>
      </c>
      <c r="L258">
        <v>0</v>
      </c>
      <c r="M258">
        <f t="shared" si="75"/>
        <v>0</v>
      </c>
      <c r="N258">
        <v>0</v>
      </c>
      <c r="O258">
        <v>0</v>
      </c>
      <c r="P258">
        <f t="shared" si="76"/>
        <v>0</v>
      </c>
      <c r="Q258">
        <v>0</v>
      </c>
      <c r="R258">
        <v>0</v>
      </c>
      <c r="S258">
        <f t="shared" si="77"/>
        <v>0</v>
      </c>
    </row>
    <row r="259" spans="1:19" x14ac:dyDescent="0.25">
      <c r="A259" t="s">
        <v>252</v>
      </c>
      <c r="B259">
        <v>0</v>
      </c>
      <c r="C259">
        <v>41</v>
      </c>
      <c r="D259">
        <f t="shared" si="72"/>
        <v>41</v>
      </c>
      <c r="E259">
        <v>0</v>
      </c>
      <c r="F259">
        <v>40</v>
      </c>
      <c r="G259">
        <f t="shared" si="73"/>
        <v>40</v>
      </c>
      <c r="H259">
        <v>0</v>
      </c>
      <c r="I259">
        <v>1</v>
      </c>
      <c r="J259">
        <f t="shared" si="74"/>
        <v>1</v>
      </c>
      <c r="K259">
        <v>0</v>
      </c>
      <c r="L259">
        <v>0</v>
      </c>
      <c r="M259">
        <f t="shared" si="75"/>
        <v>0</v>
      </c>
      <c r="N259">
        <v>0</v>
      </c>
      <c r="O259">
        <v>0</v>
      </c>
      <c r="P259">
        <f t="shared" si="76"/>
        <v>0</v>
      </c>
      <c r="Q259">
        <v>0</v>
      </c>
      <c r="R259">
        <v>0</v>
      </c>
      <c r="S259">
        <f t="shared" si="77"/>
        <v>0</v>
      </c>
    </row>
    <row r="260" spans="1:19" x14ac:dyDescent="0.25">
      <c r="A260" t="s">
        <v>253</v>
      </c>
      <c r="B260">
        <v>0</v>
      </c>
      <c r="C260">
        <v>0</v>
      </c>
      <c r="D260">
        <f t="shared" si="72"/>
        <v>0</v>
      </c>
      <c r="E260">
        <v>0</v>
      </c>
      <c r="F260">
        <v>0</v>
      </c>
      <c r="G260">
        <f t="shared" si="73"/>
        <v>0</v>
      </c>
      <c r="H260">
        <v>0</v>
      </c>
      <c r="I260">
        <v>0</v>
      </c>
      <c r="J260">
        <f t="shared" si="74"/>
        <v>0</v>
      </c>
      <c r="K260">
        <v>0</v>
      </c>
      <c r="L260">
        <v>0</v>
      </c>
      <c r="M260">
        <f t="shared" si="75"/>
        <v>0</v>
      </c>
      <c r="N260">
        <v>0</v>
      </c>
      <c r="O260">
        <v>0</v>
      </c>
      <c r="P260">
        <f t="shared" si="76"/>
        <v>0</v>
      </c>
      <c r="Q260">
        <v>0</v>
      </c>
      <c r="R260">
        <v>0</v>
      </c>
      <c r="S260">
        <f t="shared" si="77"/>
        <v>0</v>
      </c>
    </row>
    <row r="261" spans="1:19" x14ac:dyDescent="0.25">
      <c r="A261" t="s">
        <v>254</v>
      </c>
      <c r="B261">
        <v>0</v>
      </c>
      <c r="C261">
        <v>0</v>
      </c>
      <c r="D261">
        <f t="shared" si="72"/>
        <v>0</v>
      </c>
      <c r="E261">
        <v>0</v>
      </c>
      <c r="F261">
        <v>0</v>
      </c>
      <c r="G261">
        <f t="shared" si="73"/>
        <v>0</v>
      </c>
      <c r="H261">
        <v>0</v>
      </c>
      <c r="I261">
        <v>0</v>
      </c>
      <c r="J261">
        <f t="shared" si="74"/>
        <v>0</v>
      </c>
      <c r="K261">
        <v>0</v>
      </c>
      <c r="L261">
        <v>0</v>
      </c>
      <c r="M261">
        <f t="shared" si="75"/>
        <v>0</v>
      </c>
      <c r="N261">
        <v>0</v>
      </c>
      <c r="O261">
        <v>0</v>
      </c>
      <c r="P261">
        <f t="shared" si="76"/>
        <v>0</v>
      </c>
      <c r="Q261">
        <v>0</v>
      </c>
      <c r="R261">
        <v>0</v>
      </c>
      <c r="S261">
        <f t="shared" si="77"/>
        <v>0</v>
      </c>
    </row>
    <row r="262" spans="1:19" x14ac:dyDescent="0.25">
      <c r="A262" t="s">
        <v>255</v>
      </c>
      <c r="B262">
        <v>9</v>
      </c>
      <c r="C262">
        <v>167</v>
      </c>
      <c r="D262">
        <f t="shared" si="72"/>
        <v>176</v>
      </c>
      <c r="E262">
        <v>7</v>
      </c>
      <c r="F262">
        <v>126</v>
      </c>
      <c r="G262">
        <f t="shared" si="73"/>
        <v>133</v>
      </c>
      <c r="H262">
        <v>0</v>
      </c>
      <c r="I262">
        <v>20</v>
      </c>
      <c r="J262">
        <f t="shared" si="74"/>
        <v>20</v>
      </c>
      <c r="K262">
        <v>0</v>
      </c>
      <c r="L262">
        <v>3</v>
      </c>
      <c r="M262">
        <f t="shared" si="75"/>
        <v>3</v>
      </c>
      <c r="N262">
        <v>1</v>
      </c>
      <c r="O262">
        <v>7</v>
      </c>
      <c r="P262">
        <f t="shared" si="76"/>
        <v>8</v>
      </c>
      <c r="Q262">
        <v>1</v>
      </c>
      <c r="R262">
        <v>11</v>
      </c>
      <c r="S262">
        <f t="shared" si="77"/>
        <v>12</v>
      </c>
    </row>
    <row r="263" spans="1:19" x14ac:dyDescent="0.25">
      <c r="A263" t="s">
        <v>256</v>
      </c>
      <c r="B263">
        <v>0</v>
      </c>
      <c r="C263">
        <v>0</v>
      </c>
      <c r="D263">
        <f t="shared" si="72"/>
        <v>0</v>
      </c>
      <c r="E263">
        <v>0</v>
      </c>
      <c r="F263">
        <v>0</v>
      </c>
      <c r="G263">
        <f t="shared" si="73"/>
        <v>0</v>
      </c>
      <c r="H263">
        <v>0</v>
      </c>
      <c r="I263">
        <v>0</v>
      </c>
      <c r="J263">
        <f t="shared" si="74"/>
        <v>0</v>
      </c>
      <c r="K263">
        <v>0</v>
      </c>
      <c r="L263">
        <v>0</v>
      </c>
      <c r="M263">
        <f t="shared" si="75"/>
        <v>0</v>
      </c>
      <c r="N263">
        <v>0</v>
      </c>
      <c r="O263">
        <v>0</v>
      </c>
      <c r="P263">
        <f t="shared" si="76"/>
        <v>0</v>
      </c>
      <c r="Q263">
        <v>0</v>
      </c>
      <c r="R263">
        <v>0</v>
      </c>
      <c r="S263">
        <f t="shared" si="77"/>
        <v>0</v>
      </c>
    </row>
    <row r="264" spans="1:19" x14ac:dyDescent="0.25">
      <c r="A264" t="s">
        <v>257</v>
      </c>
      <c r="B264">
        <v>0</v>
      </c>
      <c r="C264">
        <v>2</v>
      </c>
      <c r="D264">
        <f t="shared" si="72"/>
        <v>2</v>
      </c>
      <c r="E264">
        <v>0</v>
      </c>
      <c r="F264">
        <v>2</v>
      </c>
      <c r="G264">
        <f t="shared" si="73"/>
        <v>2</v>
      </c>
      <c r="H264">
        <v>0</v>
      </c>
      <c r="I264">
        <v>0</v>
      </c>
      <c r="J264">
        <f t="shared" si="74"/>
        <v>0</v>
      </c>
      <c r="K264">
        <v>0</v>
      </c>
      <c r="L264">
        <v>0</v>
      </c>
      <c r="M264">
        <f t="shared" si="75"/>
        <v>0</v>
      </c>
      <c r="N264">
        <v>0</v>
      </c>
      <c r="O264">
        <v>0</v>
      </c>
      <c r="P264">
        <f t="shared" si="76"/>
        <v>0</v>
      </c>
      <c r="Q264">
        <v>0</v>
      </c>
      <c r="R264">
        <v>0</v>
      </c>
      <c r="S264">
        <f t="shared" si="77"/>
        <v>0</v>
      </c>
    </row>
    <row r="265" spans="1:19" x14ac:dyDescent="0.25">
      <c r="A265" t="s">
        <v>258</v>
      </c>
      <c r="B265">
        <v>0</v>
      </c>
      <c r="C265">
        <v>7</v>
      </c>
      <c r="D265">
        <f t="shared" si="72"/>
        <v>7</v>
      </c>
      <c r="E265">
        <v>0</v>
      </c>
      <c r="F265">
        <v>6</v>
      </c>
      <c r="G265">
        <f t="shared" si="73"/>
        <v>6</v>
      </c>
      <c r="H265">
        <v>0</v>
      </c>
      <c r="I265">
        <v>1</v>
      </c>
      <c r="J265">
        <f t="shared" si="74"/>
        <v>1</v>
      </c>
      <c r="K265">
        <v>0</v>
      </c>
      <c r="L265">
        <v>0</v>
      </c>
      <c r="M265">
        <f t="shared" si="75"/>
        <v>0</v>
      </c>
      <c r="N265">
        <v>0</v>
      </c>
      <c r="O265">
        <v>0</v>
      </c>
      <c r="P265">
        <f t="shared" si="76"/>
        <v>0</v>
      </c>
      <c r="Q265">
        <v>0</v>
      </c>
      <c r="R265">
        <v>0</v>
      </c>
      <c r="S265">
        <f t="shared" si="77"/>
        <v>0</v>
      </c>
    </row>
    <row r="266" spans="1:19" x14ac:dyDescent="0.25">
      <c r="A266" t="s">
        <v>259</v>
      </c>
      <c r="B266">
        <v>3</v>
      </c>
      <c r="C266">
        <v>1</v>
      </c>
      <c r="D266">
        <f t="shared" si="72"/>
        <v>4</v>
      </c>
      <c r="E266">
        <v>3</v>
      </c>
      <c r="F266">
        <v>1</v>
      </c>
      <c r="G266">
        <f t="shared" si="73"/>
        <v>4</v>
      </c>
      <c r="H266">
        <v>0</v>
      </c>
      <c r="I266">
        <v>0</v>
      </c>
      <c r="J266">
        <f t="shared" si="74"/>
        <v>0</v>
      </c>
      <c r="K266">
        <v>0</v>
      </c>
      <c r="L266">
        <v>0</v>
      </c>
      <c r="M266">
        <f t="shared" si="75"/>
        <v>0</v>
      </c>
      <c r="N266">
        <v>0</v>
      </c>
      <c r="O266">
        <v>0</v>
      </c>
      <c r="P266">
        <f t="shared" si="76"/>
        <v>0</v>
      </c>
      <c r="Q266">
        <v>0</v>
      </c>
      <c r="R266">
        <v>0</v>
      </c>
      <c r="S266">
        <f t="shared" si="77"/>
        <v>0</v>
      </c>
    </row>
    <row r="267" spans="1:19" x14ac:dyDescent="0.25">
      <c r="A267" t="s">
        <v>260</v>
      </c>
      <c r="B267">
        <v>0</v>
      </c>
      <c r="C267">
        <v>1</v>
      </c>
      <c r="D267">
        <f t="shared" si="72"/>
        <v>1</v>
      </c>
      <c r="E267">
        <v>0</v>
      </c>
      <c r="F267">
        <v>1</v>
      </c>
      <c r="G267">
        <f t="shared" si="73"/>
        <v>1</v>
      </c>
      <c r="H267">
        <v>0</v>
      </c>
      <c r="I267">
        <v>0</v>
      </c>
      <c r="J267">
        <f t="shared" si="74"/>
        <v>0</v>
      </c>
      <c r="K267">
        <v>0</v>
      </c>
      <c r="L267">
        <v>0</v>
      </c>
      <c r="M267">
        <f t="shared" si="75"/>
        <v>0</v>
      </c>
      <c r="N267">
        <v>0</v>
      </c>
      <c r="O267">
        <v>0</v>
      </c>
      <c r="P267">
        <f t="shared" si="76"/>
        <v>0</v>
      </c>
      <c r="Q267">
        <v>0</v>
      </c>
      <c r="R267">
        <v>0</v>
      </c>
      <c r="S267">
        <f t="shared" si="77"/>
        <v>0</v>
      </c>
    </row>
    <row r="268" spans="1:19" x14ac:dyDescent="0.25">
      <c r="A268" t="s">
        <v>261</v>
      </c>
      <c r="B268">
        <v>0</v>
      </c>
      <c r="C268">
        <v>0</v>
      </c>
      <c r="D268">
        <f t="shared" si="72"/>
        <v>0</v>
      </c>
      <c r="E268">
        <v>0</v>
      </c>
      <c r="F268">
        <v>0</v>
      </c>
      <c r="G268">
        <f t="shared" si="73"/>
        <v>0</v>
      </c>
      <c r="H268">
        <v>0</v>
      </c>
      <c r="I268">
        <v>0</v>
      </c>
      <c r="J268">
        <f t="shared" si="74"/>
        <v>0</v>
      </c>
      <c r="K268">
        <v>0</v>
      </c>
      <c r="L268">
        <v>0</v>
      </c>
      <c r="M268">
        <f t="shared" si="75"/>
        <v>0</v>
      </c>
      <c r="N268">
        <v>0</v>
      </c>
      <c r="O268">
        <v>0</v>
      </c>
      <c r="P268">
        <f t="shared" si="76"/>
        <v>0</v>
      </c>
      <c r="Q268">
        <v>0</v>
      </c>
      <c r="R268">
        <v>0</v>
      </c>
      <c r="S268">
        <f t="shared" si="77"/>
        <v>0</v>
      </c>
    </row>
    <row r="269" spans="1:19" x14ac:dyDescent="0.25">
      <c r="A269" t="s">
        <v>262</v>
      </c>
      <c r="B269">
        <v>1</v>
      </c>
      <c r="C269">
        <v>0</v>
      </c>
      <c r="D269">
        <f t="shared" si="72"/>
        <v>1</v>
      </c>
      <c r="E269">
        <v>0</v>
      </c>
      <c r="F269">
        <v>0</v>
      </c>
      <c r="G269">
        <f t="shared" si="73"/>
        <v>0</v>
      </c>
      <c r="H269">
        <v>1</v>
      </c>
      <c r="I269">
        <v>0</v>
      </c>
      <c r="J269">
        <f t="shared" si="74"/>
        <v>1</v>
      </c>
      <c r="K269">
        <v>0</v>
      </c>
      <c r="L269">
        <v>0</v>
      </c>
      <c r="M269">
        <f t="shared" si="75"/>
        <v>0</v>
      </c>
      <c r="N269">
        <v>0</v>
      </c>
      <c r="O269">
        <v>0</v>
      </c>
      <c r="P269">
        <f t="shared" si="76"/>
        <v>0</v>
      </c>
      <c r="Q269">
        <v>0</v>
      </c>
      <c r="R269">
        <v>0</v>
      </c>
      <c r="S269">
        <f t="shared" si="77"/>
        <v>0</v>
      </c>
    </row>
    <row r="270" spans="1:19" x14ac:dyDescent="0.25">
      <c r="A270" t="s">
        <v>263</v>
      </c>
      <c r="B270">
        <v>5</v>
      </c>
      <c r="C270">
        <v>24</v>
      </c>
      <c r="D270">
        <f t="shared" si="72"/>
        <v>29</v>
      </c>
      <c r="E270">
        <v>5</v>
      </c>
      <c r="F270">
        <v>24</v>
      </c>
      <c r="G270">
        <f t="shared" si="73"/>
        <v>29</v>
      </c>
      <c r="H270">
        <v>0</v>
      </c>
      <c r="I270">
        <v>0</v>
      </c>
      <c r="J270">
        <f t="shared" si="74"/>
        <v>0</v>
      </c>
      <c r="K270">
        <v>0</v>
      </c>
      <c r="L270">
        <v>0</v>
      </c>
      <c r="M270">
        <f t="shared" si="75"/>
        <v>0</v>
      </c>
      <c r="N270">
        <v>0</v>
      </c>
      <c r="O270">
        <v>0</v>
      </c>
      <c r="P270">
        <f t="shared" si="76"/>
        <v>0</v>
      </c>
      <c r="Q270">
        <v>0</v>
      </c>
      <c r="R270">
        <v>0</v>
      </c>
      <c r="S270">
        <f t="shared" si="77"/>
        <v>0</v>
      </c>
    </row>
    <row r="271" spans="1:19" x14ac:dyDescent="0.25">
      <c r="A271" t="s">
        <v>264</v>
      </c>
      <c r="B271">
        <v>0</v>
      </c>
      <c r="C271">
        <v>4</v>
      </c>
      <c r="D271">
        <f t="shared" si="72"/>
        <v>4</v>
      </c>
      <c r="E271">
        <v>0</v>
      </c>
      <c r="F271">
        <v>3</v>
      </c>
      <c r="G271">
        <f t="shared" si="73"/>
        <v>3</v>
      </c>
      <c r="H271">
        <v>0</v>
      </c>
      <c r="I271">
        <v>1</v>
      </c>
      <c r="J271">
        <f t="shared" si="74"/>
        <v>1</v>
      </c>
      <c r="K271">
        <v>0</v>
      </c>
      <c r="L271">
        <v>0</v>
      </c>
      <c r="M271">
        <f t="shared" si="75"/>
        <v>0</v>
      </c>
      <c r="N271">
        <v>0</v>
      </c>
      <c r="O271">
        <v>0</v>
      </c>
      <c r="P271">
        <f t="shared" si="76"/>
        <v>0</v>
      </c>
      <c r="Q271">
        <v>0</v>
      </c>
      <c r="R271">
        <v>0</v>
      </c>
      <c r="S271">
        <f t="shared" si="77"/>
        <v>0</v>
      </c>
    </row>
    <row r="272" spans="1:19" x14ac:dyDescent="0.25">
      <c r="A272" t="s">
        <v>265</v>
      </c>
      <c r="B272">
        <v>1</v>
      </c>
      <c r="C272">
        <v>2</v>
      </c>
      <c r="D272">
        <f t="shared" si="72"/>
        <v>3</v>
      </c>
      <c r="E272">
        <v>1</v>
      </c>
      <c r="F272">
        <v>2</v>
      </c>
      <c r="G272">
        <f t="shared" si="73"/>
        <v>3</v>
      </c>
      <c r="H272">
        <v>0</v>
      </c>
      <c r="I272">
        <v>0</v>
      </c>
      <c r="J272">
        <f t="shared" si="74"/>
        <v>0</v>
      </c>
      <c r="K272">
        <v>0</v>
      </c>
      <c r="L272">
        <v>0</v>
      </c>
      <c r="M272">
        <f t="shared" si="75"/>
        <v>0</v>
      </c>
      <c r="N272">
        <v>0</v>
      </c>
      <c r="O272">
        <v>0</v>
      </c>
      <c r="P272">
        <f t="shared" si="76"/>
        <v>0</v>
      </c>
      <c r="Q272">
        <v>0</v>
      </c>
      <c r="R272">
        <v>0</v>
      </c>
      <c r="S272">
        <f t="shared" si="77"/>
        <v>0</v>
      </c>
    </row>
    <row r="273" spans="1:19" x14ac:dyDescent="0.25">
      <c r="A273" t="s">
        <v>266</v>
      </c>
      <c r="B273">
        <v>5</v>
      </c>
      <c r="C273">
        <v>21</v>
      </c>
      <c r="D273">
        <f t="shared" si="72"/>
        <v>26</v>
      </c>
      <c r="E273">
        <v>4</v>
      </c>
      <c r="F273">
        <v>21</v>
      </c>
      <c r="G273">
        <f t="shared" si="73"/>
        <v>25</v>
      </c>
      <c r="H273">
        <v>0</v>
      </c>
      <c r="I273">
        <v>0</v>
      </c>
      <c r="J273">
        <f t="shared" si="74"/>
        <v>0</v>
      </c>
      <c r="K273">
        <v>1</v>
      </c>
      <c r="L273">
        <v>0</v>
      </c>
      <c r="M273">
        <f t="shared" si="75"/>
        <v>1</v>
      </c>
      <c r="N273">
        <v>0</v>
      </c>
      <c r="O273">
        <v>0</v>
      </c>
      <c r="P273">
        <f t="shared" si="76"/>
        <v>0</v>
      </c>
      <c r="Q273">
        <v>0</v>
      </c>
      <c r="R273">
        <v>0</v>
      </c>
      <c r="S273">
        <f t="shared" si="77"/>
        <v>0</v>
      </c>
    </row>
    <row r="274" spans="1:19" x14ac:dyDescent="0.25">
      <c r="A274" t="s">
        <v>267</v>
      </c>
      <c r="B274">
        <v>0</v>
      </c>
      <c r="C274">
        <v>9</v>
      </c>
      <c r="D274">
        <f t="shared" si="72"/>
        <v>9</v>
      </c>
      <c r="E274">
        <v>0</v>
      </c>
      <c r="F274">
        <v>9</v>
      </c>
      <c r="G274">
        <f t="shared" si="73"/>
        <v>9</v>
      </c>
      <c r="H274">
        <v>0</v>
      </c>
      <c r="I274">
        <v>0</v>
      </c>
      <c r="J274">
        <f t="shared" si="74"/>
        <v>0</v>
      </c>
      <c r="K274">
        <v>0</v>
      </c>
      <c r="L274">
        <v>0</v>
      </c>
      <c r="M274">
        <f t="shared" si="75"/>
        <v>0</v>
      </c>
      <c r="N274">
        <v>0</v>
      </c>
      <c r="O274">
        <v>0</v>
      </c>
      <c r="P274">
        <f t="shared" si="76"/>
        <v>0</v>
      </c>
      <c r="Q274">
        <v>0</v>
      </c>
      <c r="R274">
        <v>0</v>
      </c>
      <c r="S274">
        <f t="shared" si="77"/>
        <v>0</v>
      </c>
    </row>
    <row r="275" spans="1:19" x14ac:dyDescent="0.25">
      <c r="A275" t="s">
        <v>268</v>
      </c>
      <c r="B275">
        <v>0</v>
      </c>
      <c r="C275">
        <v>37</v>
      </c>
      <c r="D275">
        <f t="shared" si="72"/>
        <v>37</v>
      </c>
      <c r="E275">
        <v>0</v>
      </c>
      <c r="F275">
        <v>37</v>
      </c>
      <c r="G275">
        <f t="shared" si="73"/>
        <v>37</v>
      </c>
      <c r="H275">
        <v>0</v>
      </c>
      <c r="I275">
        <v>0</v>
      </c>
      <c r="J275">
        <f t="shared" si="74"/>
        <v>0</v>
      </c>
      <c r="K275">
        <v>0</v>
      </c>
      <c r="L275">
        <v>0</v>
      </c>
      <c r="M275">
        <f t="shared" si="75"/>
        <v>0</v>
      </c>
      <c r="N275">
        <v>0</v>
      </c>
      <c r="O275">
        <v>0</v>
      </c>
      <c r="P275">
        <f t="shared" si="76"/>
        <v>0</v>
      </c>
      <c r="Q275">
        <v>0</v>
      </c>
      <c r="R275">
        <v>0</v>
      </c>
      <c r="S275">
        <f t="shared" si="77"/>
        <v>0</v>
      </c>
    </row>
    <row r="276" spans="1:19" x14ac:dyDescent="0.25">
      <c r="A276" t="s">
        <v>269</v>
      </c>
      <c r="B276">
        <v>1</v>
      </c>
      <c r="C276">
        <v>3</v>
      </c>
      <c r="D276">
        <f t="shared" si="72"/>
        <v>4</v>
      </c>
      <c r="E276">
        <v>1</v>
      </c>
      <c r="F276">
        <v>3</v>
      </c>
      <c r="G276">
        <f t="shared" si="73"/>
        <v>4</v>
      </c>
      <c r="H276">
        <v>0</v>
      </c>
      <c r="I276">
        <v>0</v>
      </c>
      <c r="J276">
        <f t="shared" si="74"/>
        <v>0</v>
      </c>
      <c r="K276">
        <v>0</v>
      </c>
      <c r="L276">
        <v>0</v>
      </c>
      <c r="M276">
        <f t="shared" si="75"/>
        <v>0</v>
      </c>
      <c r="N276">
        <v>0</v>
      </c>
      <c r="O276">
        <v>0</v>
      </c>
      <c r="P276">
        <f t="shared" si="76"/>
        <v>0</v>
      </c>
      <c r="Q276">
        <v>0</v>
      </c>
      <c r="R276">
        <v>0</v>
      </c>
      <c r="S276">
        <f t="shared" si="77"/>
        <v>0</v>
      </c>
    </row>
    <row r="277" spans="1:19" x14ac:dyDescent="0.25">
      <c r="A277" t="s">
        <v>270</v>
      </c>
      <c r="B277">
        <v>0</v>
      </c>
      <c r="C277">
        <v>0</v>
      </c>
      <c r="D277">
        <f t="shared" si="72"/>
        <v>0</v>
      </c>
      <c r="E277">
        <v>0</v>
      </c>
      <c r="F277">
        <v>0</v>
      </c>
      <c r="G277">
        <f t="shared" si="73"/>
        <v>0</v>
      </c>
      <c r="H277">
        <v>0</v>
      </c>
      <c r="I277">
        <v>0</v>
      </c>
      <c r="J277">
        <f t="shared" si="74"/>
        <v>0</v>
      </c>
      <c r="K277">
        <v>0</v>
      </c>
      <c r="L277">
        <v>0</v>
      </c>
      <c r="M277">
        <f t="shared" si="75"/>
        <v>0</v>
      </c>
      <c r="N277">
        <v>0</v>
      </c>
      <c r="O277">
        <v>0</v>
      </c>
      <c r="P277">
        <f t="shared" si="76"/>
        <v>0</v>
      </c>
      <c r="Q277">
        <v>0</v>
      </c>
      <c r="R277">
        <v>0</v>
      </c>
      <c r="S277">
        <f t="shared" si="77"/>
        <v>0</v>
      </c>
    </row>
    <row r="278" spans="1:19" x14ac:dyDescent="0.25">
      <c r="A278" t="s">
        <v>271</v>
      </c>
      <c r="B278">
        <v>0</v>
      </c>
      <c r="C278">
        <v>3</v>
      </c>
      <c r="D278">
        <f t="shared" si="72"/>
        <v>3</v>
      </c>
      <c r="E278">
        <v>0</v>
      </c>
      <c r="F278">
        <v>3</v>
      </c>
      <c r="G278">
        <f t="shared" si="73"/>
        <v>3</v>
      </c>
      <c r="H278">
        <v>0</v>
      </c>
      <c r="I278">
        <v>0</v>
      </c>
      <c r="J278">
        <f t="shared" si="74"/>
        <v>0</v>
      </c>
      <c r="K278">
        <v>0</v>
      </c>
      <c r="L278">
        <v>0</v>
      </c>
      <c r="M278">
        <f t="shared" si="75"/>
        <v>0</v>
      </c>
      <c r="N278">
        <v>0</v>
      </c>
      <c r="O278">
        <v>0</v>
      </c>
      <c r="P278">
        <f t="shared" si="76"/>
        <v>0</v>
      </c>
      <c r="Q278">
        <v>0</v>
      </c>
      <c r="R278">
        <v>0</v>
      </c>
      <c r="S278">
        <f t="shared" si="77"/>
        <v>0</v>
      </c>
    </row>
    <row r="279" spans="1:19" x14ac:dyDescent="0.25">
      <c r="A279" t="s">
        <v>272</v>
      </c>
      <c r="B279">
        <v>0</v>
      </c>
      <c r="C279">
        <v>0</v>
      </c>
      <c r="D279">
        <f t="shared" si="72"/>
        <v>0</v>
      </c>
      <c r="E279">
        <v>0</v>
      </c>
      <c r="F279">
        <v>0</v>
      </c>
      <c r="G279">
        <f t="shared" si="73"/>
        <v>0</v>
      </c>
      <c r="H279">
        <v>0</v>
      </c>
      <c r="I279">
        <v>0</v>
      </c>
      <c r="J279">
        <f t="shared" si="74"/>
        <v>0</v>
      </c>
      <c r="K279">
        <v>0</v>
      </c>
      <c r="L279">
        <v>0</v>
      </c>
      <c r="M279">
        <f t="shared" si="75"/>
        <v>0</v>
      </c>
      <c r="N279">
        <v>0</v>
      </c>
      <c r="O279">
        <v>0</v>
      </c>
      <c r="P279">
        <f t="shared" si="76"/>
        <v>0</v>
      </c>
      <c r="Q279">
        <v>0</v>
      </c>
      <c r="R279">
        <v>0</v>
      </c>
      <c r="S279">
        <f t="shared" si="77"/>
        <v>0</v>
      </c>
    </row>
    <row r="281" spans="1:19" x14ac:dyDescent="0.25">
      <c r="A281" s="8" t="s">
        <v>273</v>
      </c>
      <c r="B281" s="8" t="s">
        <v>273</v>
      </c>
      <c r="C281" s="8" t="s">
        <v>273</v>
      </c>
      <c r="D281" s="8" t="s">
        <v>273</v>
      </c>
      <c r="E281" s="8" t="s">
        <v>273</v>
      </c>
      <c r="F281" s="8" t="s">
        <v>273</v>
      </c>
      <c r="G281" s="8" t="s">
        <v>273</v>
      </c>
      <c r="H281" s="8" t="s">
        <v>273</v>
      </c>
      <c r="I281" s="8" t="s">
        <v>273</v>
      </c>
      <c r="J281" s="8" t="s">
        <v>273</v>
      </c>
      <c r="K281" s="8" t="s">
        <v>273</v>
      </c>
      <c r="L281" s="8" t="s">
        <v>273</v>
      </c>
      <c r="M281" s="8" t="s">
        <v>273</v>
      </c>
      <c r="N281" s="8" t="s">
        <v>273</v>
      </c>
      <c r="O281" s="8" t="s">
        <v>273</v>
      </c>
      <c r="P281" s="8" t="s">
        <v>273</v>
      </c>
      <c r="Q281" s="8" t="s">
        <v>273</v>
      </c>
      <c r="R281" s="8" t="s">
        <v>273</v>
      </c>
      <c r="S281" s="8" t="s">
        <v>273</v>
      </c>
    </row>
    <row r="282" spans="1:19" x14ac:dyDescent="0.25">
      <c r="A282" t="s">
        <v>274</v>
      </c>
      <c r="B282">
        <v>0</v>
      </c>
      <c r="C282">
        <v>0</v>
      </c>
      <c r="D282">
        <f t="shared" ref="D282:D293" si="78">B282+C282</f>
        <v>0</v>
      </c>
      <c r="E282">
        <v>0</v>
      </c>
      <c r="F282">
        <v>0</v>
      </c>
      <c r="G282">
        <f t="shared" ref="G282:G293" si="79">E282+F282</f>
        <v>0</v>
      </c>
      <c r="H282">
        <v>0</v>
      </c>
      <c r="I282">
        <v>0</v>
      </c>
      <c r="J282">
        <f t="shared" ref="J282:J293" si="80">H282+I282</f>
        <v>0</v>
      </c>
      <c r="K282">
        <v>0</v>
      </c>
      <c r="L282">
        <v>0</v>
      </c>
      <c r="M282">
        <f t="shared" ref="M282:M293" si="81">K282+L282</f>
        <v>0</v>
      </c>
      <c r="N282">
        <v>0</v>
      </c>
      <c r="O282">
        <v>0</v>
      </c>
      <c r="P282">
        <f t="shared" ref="P282:P293" si="82">N282+O282</f>
        <v>0</v>
      </c>
      <c r="Q282">
        <v>0</v>
      </c>
      <c r="R282">
        <v>0</v>
      </c>
      <c r="S282">
        <f t="shared" ref="S282:S293" si="83">Q282+R282</f>
        <v>0</v>
      </c>
    </row>
    <row r="283" spans="1:19" x14ac:dyDescent="0.25">
      <c r="A283" t="s">
        <v>275</v>
      </c>
      <c r="B283">
        <v>0</v>
      </c>
      <c r="C283">
        <v>0</v>
      </c>
      <c r="D283">
        <f t="shared" si="78"/>
        <v>0</v>
      </c>
      <c r="E283">
        <v>0</v>
      </c>
      <c r="F283">
        <v>0</v>
      </c>
      <c r="G283">
        <f t="shared" si="79"/>
        <v>0</v>
      </c>
      <c r="H283">
        <v>0</v>
      </c>
      <c r="I283">
        <v>0</v>
      </c>
      <c r="J283">
        <f t="shared" si="80"/>
        <v>0</v>
      </c>
      <c r="K283">
        <v>0</v>
      </c>
      <c r="L283">
        <v>0</v>
      </c>
      <c r="M283">
        <f t="shared" si="81"/>
        <v>0</v>
      </c>
      <c r="N283">
        <v>0</v>
      </c>
      <c r="O283">
        <v>0</v>
      </c>
      <c r="P283">
        <f t="shared" si="82"/>
        <v>0</v>
      </c>
      <c r="Q283">
        <v>0</v>
      </c>
      <c r="R283">
        <v>0</v>
      </c>
      <c r="S283">
        <f t="shared" si="83"/>
        <v>0</v>
      </c>
    </row>
    <row r="284" spans="1:19" x14ac:dyDescent="0.25">
      <c r="A284" t="s">
        <v>276</v>
      </c>
      <c r="B284">
        <v>0</v>
      </c>
      <c r="C284">
        <v>2</v>
      </c>
      <c r="D284">
        <f t="shared" si="78"/>
        <v>2</v>
      </c>
      <c r="E284">
        <v>0</v>
      </c>
      <c r="F284">
        <v>2</v>
      </c>
      <c r="G284">
        <f t="shared" si="79"/>
        <v>2</v>
      </c>
      <c r="H284">
        <v>0</v>
      </c>
      <c r="I284">
        <v>0</v>
      </c>
      <c r="J284">
        <f t="shared" si="80"/>
        <v>0</v>
      </c>
      <c r="K284">
        <v>0</v>
      </c>
      <c r="L284">
        <v>0</v>
      </c>
      <c r="M284">
        <f t="shared" si="81"/>
        <v>0</v>
      </c>
      <c r="N284">
        <v>0</v>
      </c>
      <c r="O284">
        <v>0</v>
      </c>
      <c r="P284">
        <f t="shared" si="82"/>
        <v>0</v>
      </c>
      <c r="Q284">
        <v>0</v>
      </c>
      <c r="R284">
        <v>0</v>
      </c>
      <c r="S284">
        <f t="shared" si="83"/>
        <v>0</v>
      </c>
    </row>
    <row r="285" spans="1:19" x14ac:dyDescent="0.25">
      <c r="A285" t="s">
        <v>277</v>
      </c>
      <c r="B285">
        <v>53</v>
      </c>
      <c r="C285">
        <v>57</v>
      </c>
      <c r="D285">
        <f t="shared" si="78"/>
        <v>110</v>
      </c>
      <c r="E285">
        <v>53</v>
      </c>
      <c r="F285">
        <v>57</v>
      </c>
      <c r="G285">
        <f t="shared" si="79"/>
        <v>110</v>
      </c>
      <c r="H285">
        <v>0</v>
      </c>
      <c r="I285">
        <v>0</v>
      </c>
      <c r="J285">
        <f t="shared" si="80"/>
        <v>0</v>
      </c>
      <c r="K285">
        <v>0</v>
      </c>
      <c r="L285">
        <v>0</v>
      </c>
      <c r="M285">
        <f t="shared" si="81"/>
        <v>0</v>
      </c>
      <c r="N285">
        <v>0</v>
      </c>
      <c r="O285">
        <v>0</v>
      </c>
      <c r="P285">
        <f t="shared" si="82"/>
        <v>0</v>
      </c>
      <c r="Q285">
        <v>0</v>
      </c>
      <c r="R285">
        <v>0</v>
      </c>
      <c r="S285">
        <f t="shared" si="83"/>
        <v>0</v>
      </c>
    </row>
    <row r="286" spans="1:19" x14ac:dyDescent="0.25">
      <c r="A286" t="s">
        <v>278</v>
      </c>
      <c r="B286">
        <v>0</v>
      </c>
      <c r="C286">
        <v>0</v>
      </c>
      <c r="D286">
        <f t="shared" si="78"/>
        <v>0</v>
      </c>
      <c r="E286">
        <v>0</v>
      </c>
      <c r="F286">
        <v>0</v>
      </c>
      <c r="G286">
        <f t="shared" si="79"/>
        <v>0</v>
      </c>
      <c r="H286">
        <v>0</v>
      </c>
      <c r="I286">
        <v>0</v>
      </c>
      <c r="J286">
        <f t="shared" si="80"/>
        <v>0</v>
      </c>
      <c r="K286">
        <v>0</v>
      </c>
      <c r="L286">
        <v>0</v>
      </c>
      <c r="M286">
        <f t="shared" si="81"/>
        <v>0</v>
      </c>
      <c r="N286">
        <v>0</v>
      </c>
      <c r="O286">
        <v>0</v>
      </c>
      <c r="P286">
        <f t="shared" si="82"/>
        <v>0</v>
      </c>
      <c r="Q286">
        <v>0</v>
      </c>
      <c r="R286">
        <v>0</v>
      </c>
      <c r="S286">
        <f t="shared" si="83"/>
        <v>0</v>
      </c>
    </row>
    <row r="287" spans="1:19" x14ac:dyDescent="0.25">
      <c r="A287" t="s">
        <v>279</v>
      </c>
      <c r="B287">
        <v>0</v>
      </c>
      <c r="C287">
        <v>0</v>
      </c>
      <c r="D287">
        <f t="shared" si="78"/>
        <v>0</v>
      </c>
      <c r="E287">
        <v>0</v>
      </c>
      <c r="F287">
        <v>0</v>
      </c>
      <c r="G287">
        <f t="shared" si="79"/>
        <v>0</v>
      </c>
      <c r="H287">
        <v>0</v>
      </c>
      <c r="I287">
        <v>0</v>
      </c>
      <c r="J287">
        <f t="shared" si="80"/>
        <v>0</v>
      </c>
      <c r="K287">
        <v>0</v>
      </c>
      <c r="L287">
        <v>0</v>
      </c>
      <c r="M287">
        <f t="shared" si="81"/>
        <v>0</v>
      </c>
      <c r="N287">
        <v>0</v>
      </c>
      <c r="O287">
        <v>0</v>
      </c>
      <c r="P287">
        <f t="shared" si="82"/>
        <v>0</v>
      </c>
      <c r="Q287">
        <v>0</v>
      </c>
      <c r="R287">
        <v>0</v>
      </c>
      <c r="S287">
        <f t="shared" si="83"/>
        <v>0</v>
      </c>
    </row>
    <row r="288" spans="1:19" x14ac:dyDescent="0.25">
      <c r="A288" t="s">
        <v>280</v>
      </c>
      <c r="B288">
        <v>0</v>
      </c>
      <c r="C288">
        <v>0</v>
      </c>
      <c r="D288">
        <f t="shared" si="78"/>
        <v>0</v>
      </c>
      <c r="E288">
        <v>0</v>
      </c>
      <c r="F288">
        <v>0</v>
      </c>
      <c r="G288">
        <f t="shared" si="79"/>
        <v>0</v>
      </c>
      <c r="H288">
        <v>0</v>
      </c>
      <c r="I288">
        <v>0</v>
      </c>
      <c r="J288">
        <f t="shared" si="80"/>
        <v>0</v>
      </c>
      <c r="K288">
        <v>0</v>
      </c>
      <c r="L288">
        <v>0</v>
      </c>
      <c r="M288">
        <f t="shared" si="81"/>
        <v>0</v>
      </c>
      <c r="N288">
        <v>0</v>
      </c>
      <c r="O288">
        <v>0</v>
      </c>
      <c r="P288">
        <f t="shared" si="82"/>
        <v>0</v>
      </c>
      <c r="Q288">
        <v>0</v>
      </c>
      <c r="R288">
        <v>0</v>
      </c>
      <c r="S288">
        <f t="shared" si="83"/>
        <v>0</v>
      </c>
    </row>
    <row r="289" spans="1:19" x14ac:dyDescent="0.25">
      <c r="A289" t="s">
        <v>281</v>
      </c>
      <c r="B289">
        <v>2</v>
      </c>
      <c r="C289">
        <v>0</v>
      </c>
      <c r="D289">
        <f t="shared" si="78"/>
        <v>2</v>
      </c>
      <c r="E289">
        <v>2</v>
      </c>
      <c r="F289">
        <v>0</v>
      </c>
      <c r="G289">
        <f t="shared" si="79"/>
        <v>2</v>
      </c>
      <c r="H289">
        <v>0</v>
      </c>
      <c r="I289">
        <v>0</v>
      </c>
      <c r="J289">
        <f t="shared" si="80"/>
        <v>0</v>
      </c>
      <c r="K289">
        <v>0</v>
      </c>
      <c r="L289">
        <v>0</v>
      </c>
      <c r="M289">
        <f t="shared" si="81"/>
        <v>0</v>
      </c>
      <c r="N289">
        <v>0</v>
      </c>
      <c r="O289">
        <v>0</v>
      </c>
      <c r="P289">
        <f t="shared" si="82"/>
        <v>0</v>
      </c>
      <c r="Q289">
        <v>0</v>
      </c>
      <c r="R289">
        <v>0</v>
      </c>
      <c r="S289">
        <f t="shared" si="83"/>
        <v>0</v>
      </c>
    </row>
    <row r="290" spans="1:19" x14ac:dyDescent="0.25">
      <c r="A290" t="s">
        <v>282</v>
      </c>
      <c r="B290">
        <v>0</v>
      </c>
      <c r="C290">
        <v>0</v>
      </c>
      <c r="D290">
        <f t="shared" si="78"/>
        <v>0</v>
      </c>
      <c r="E290">
        <v>0</v>
      </c>
      <c r="F290">
        <v>0</v>
      </c>
      <c r="G290">
        <f t="shared" si="79"/>
        <v>0</v>
      </c>
      <c r="H290">
        <v>0</v>
      </c>
      <c r="I290">
        <v>0</v>
      </c>
      <c r="J290">
        <f t="shared" si="80"/>
        <v>0</v>
      </c>
      <c r="K290">
        <v>0</v>
      </c>
      <c r="L290">
        <v>0</v>
      </c>
      <c r="M290">
        <f t="shared" si="81"/>
        <v>0</v>
      </c>
      <c r="N290">
        <v>0</v>
      </c>
      <c r="O290">
        <v>0</v>
      </c>
      <c r="P290">
        <f t="shared" si="82"/>
        <v>0</v>
      </c>
      <c r="Q290">
        <v>0</v>
      </c>
      <c r="R290">
        <v>0</v>
      </c>
      <c r="S290">
        <f t="shared" si="83"/>
        <v>0</v>
      </c>
    </row>
    <row r="291" spans="1:19" x14ac:dyDescent="0.25">
      <c r="A291" t="s">
        <v>283</v>
      </c>
      <c r="B291">
        <v>2228</v>
      </c>
      <c r="C291">
        <v>312</v>
      </c>
      <c r="D291">
        <f t="shared" si="78"/>
        <v>2540</v>
      </c>
      <c r="E291">
        <v>1434</v>
      </c>
      <c r="F291">
        <v>118</v>
      </c>
      <c r="G291">
        <f t="shared" si="79"/>
        <v>1552</v>
      </c>
      <c r="H291">
        <v>113</v>
      </c>
      <c r="I291">
        <v>35</v>
      </c>
      <c r="J291">
        <f t="shared" si="80"/>
        <v>148</v>
      </c>
      <c r="K291">
        <v>111</v>
      </c>
      <c r="L291">
        <v>44</v>
      </c>
      <c r="M291">
        <f t="shared" si="81"/>
        <v>155</v>
      </c>
      <c r="N291">
        <v>140</v>
      </c>
      <c r="O291">
        <v>45</v>
      </c>
      <c r="P291">
        <f t="shared" si="82"/>
        <v>185</v>
      </c>
      <c r="Q291">
        <v>430</v>
      </c>
      <c r="R291">
        <v>70</v>
      </c>
      <c r="S291">
        <f t="shared" si="83"/>
        <v>500</v>
      </c>
    </row>
    <row r="292" spans="1:19" x14ac:dyDescent="0.25">
      <c r="A292" t="s">
        <v>284</v>
      </c>
      <c r="B292">
        <v>101</v>
      </c>
      <c r="C292">
        <v>38</v>
      </c>
      <c r="D292">
        <f t="shared" si="78"/>
        <v>139</v>
      </c>
      <c r="E292">
        <v>101</v>
      </c>
      <c r="F292">
        <v>37</v>
      </c>
      <c r="G292">
        <f t="shared" si="79"/>
        <v>138</v>
      </c>
      <c r="H292">
        <v>0</v>
      </c>
      <c r="I292">
        <v>1</v>
      </c>
      <c r="J292">
        <f t="shared" si="80"/>
        <v>1</v>
      </c>
      <c r="K292">
        <v>0</v>
      </c>
      <c r="L292">
        <v>0</v>
      </c>
      <c r="M292">
        <f t="shared" si="81"/>
        <v>0</v>
      </c>
      <c r="N292">
        <v>0</v>
      </c>
      <c r="O292">
        <v>0</v>
      </c>
      <c r="P292">
        <f t="shared" si="82"/>
        <v>0</v>
      </c>
      <c r="Q292">
        <v>0</v>
      </c>
      <c r="R292">
        <v>0</v>
      </c>
      <c r="S292">
        <f t="shared" si="83"/>
        <v>0</v>
      </c>
    </row>
    <row r="293" spans="1:19" x14ac:dyDescent="0.25">
      <c r="A293" t="s">
        <v>285</v>
      </c>
      <c r="B293">
        <v>3265</v>
      </c>
      <c r="C293">
        <v>123</v>
      </c>
      <c r="D293">
        <f t="shared" si="78"/>
        <v>3388</v>
      </c>
      <c r="E293">
        <v>2271</v>
      </c>
      <c r="F293">
        <v>104</v>
      </c>
      <c r="G293">
        <f t="shared" si="79"/>
        <v>2375</v>
      </c>
      <c r="H293">
        <v>858</v>
      </c>
      <c r="I293">
        <v>12</v>
      </c>
      <c r="J293">
        <f t="shared" si="80"/>
        <v>870</v>
      </c>
      <c r="K293">
        <v>121</v>
      </c>
      <c r="L293">
        <v>5</v>
      </c>
      <c r="M293">
        <f t="shared" si="81"/>
        <v>126</v>
      </c>
      <c r="N293">
        <v>11</v>
      </c>
      <c r="O293">
        <v>2</v>
      </c>
      <c r="P293">
        <f t="shared" si="82"/>
        <v>13</v>
      </c>
      <c r="Q293">
        <v>4</v>
      </c>
      <c r="R293">
        <v>0</v>
      </c>
      <c r="S293">
        <f t="shared" si="83"/>
        <v>4</v>
      </c>
    </row>
    <row r="295" spans="1:19" x14ac:dyDescent="0.25">
      <c r="A295" s="8" t="s">
        <v>286</v>
      </c>
      <c r="B295" s="8" t="s">
        <v>286</v>
      </c>
      <c r="C295" s="8" t="s">
        <v>286</v>
      </c>
      <c r="D295" s="8" t="s">
        <v>286</v>
      </c>
      <c r="E295" s="8" t="s">
        <v>286</v>
      </c>
      <c r="F295" s="8" t="s">
        <v>286</v>
      </c>
      <c r="G295" s="8" t="s">
        <v>286</v>
      </c>
      <c r="H295" s="8" t="s">
        <v>286</v>
      </c>
      <c r="I295" s="8" t="s">
        <v>286</v>
      </c>
      <c r="J295" s="8" t="s">
        <v>286</v>
      </c>
      <c r="K295" s="8" t="s">
        <v>286</v>
      </c>
      <c r="L295" s="8" t="s">
        <v>286</v>
      </c>
      <c r="M295" s="8" t="s">
        <v>286</v>
      </c>
      <c r="N295" s="8" t="s">
        <v>286</v>
      </c>
      <c r="O295" s="8" t="s">
        <v>286</v>
      </c>
      <c r="P295" s="8" t="s">
        <v>286</v>
      </c>
      <c r="Q295" s="8" t="s">
        <v>286</v>
      </c>
      <c r="R295" s="8" t="s">
        <v>286</v>
      </c>
      <c r="S295" s="8" t="s">
        <v>286</v>
      </c>
    </row>
    <row r="296" spans="1:19" x14ac:dyDescent="0.25">
      <c r="A296" t="s">
        <v>287</v>
      </c>
      <c r="B296">
        <v>0</v>
      </c>
      <c r="C296">
        <v>3</v>
      </c>
      <c r="D296">
        <f t="shared" ref="D296:D327" si="84">B296+C296</f>
        <v>3</v>
      </c>
      <c r="E296">
        <v>0</v>
      </c>
      <c r="F296">
        <v>3</v>
      </c>
      <c r="G296">
        <f t="shared" ref="G296:G327" si="85">E296+F296</f>
        <v>3</v>
      </c>
      <c r="H296">
        <v>0</v>
      </c>
      <c r="I296">
        <v>0</v>
      </c>
      <c r="J296">
        <f t="shared" ref="J296:J327" si="86">H296+I296</f>
        <v>0</v>
      </c>
      <c r="K296">
        <v>0</v>
      </c>
      <c r="L296">
        <v>0</v>
      </c>
      <c r="M296">
        <f t="shared" ref="M296:M327" si="87">K296+L296</f>
        <v>0</v>
      </c>
      <c r="N296">
        <v>0</v>
      </c>
      <c r="O296">
        <v>0</v>
      </c>
      <c r="P296">
        <f t="shared" ref="P296:P327" si="88">N296+O296</f>
        <v>0</v>
      </c>
      <c r="Q296">
        <v>0</v>
      </c>
      <c r="R296">
        <v>0</v>
      </c>
      <c r="S296">
        <f t="shared" ref="S296:S327" si="89">Q296+R296</f>
        <v>0</v>
      </c>
    </row>
    <row r="297" spans="1:19" x14ac:dyDescent="0.25">
      <c r="A297" t="s">
        <v>288</v>
      </c>
      <c r="B297">
        <v>0</v>
      </c>
      <c r="C297">
        <v>5</v>
      </c>
      <c r="D297">
        <f t="shared" si="84"/>
        <v>5</v>
      </c>
      <c r="E297">
        <v>0</v>
      </c>
      <c r="F297">
        <v>5</v>
      </c>
      <c r="G297">
        <f t="shared" si="85"/>
        <v>5</v>
      </c>
      <c r="H297">
        <v>0</v>
      </c>
      <c r="I297">
        <v>0</v>
      </c>
      <c r="J297">
        <f t="shared" si="86"/>
        <v>0</v>
      </c>
      <c r="K297">
        <v>0</v>
      </c>
      <c r="L297">
        <v>0</v>
      </c>
      <c r="M297">
        <f t="shared" si="87"/>
        <v>0</v>
      </c>
      <c r="N297">
        <v>0</v>
      </c>
      <c r="O297">
        <v>0</v>
      </c>
      <c r="P297">
        <f t="shared" si="88"/>
        <v>0</v>
      </c>
      <c r="Q297">
        <v>0</v>
      </c>
      <c r="R297">
        <v>0</v>
      </c>
      <c r="S297">
        <f t="shared" si="89"/>
        <v>0</v>
      </c>
    </row>
    <row r="298" spans="1:19" x14ac:dyDescent="0.25">
      <c r="A298" t="s">
        <v>289</v>
      </c>
      <c r="B298">
        <v>0</v>
      </c>
      <c r="C298">
        <v>0</v>
      </c>
      <c r="D298">
        <f t="shared" si="84"/>
        <v>0</v>
      </c>
      <c r="E298">
        <v>0</v>
      </c>
      <c r="F298">
        <v>0</v>
      </c>
      <c r="G298">
        <f t="shared" si="85"/>
        <v>0</v>
      </c>
      <c r="H298">
        <v>0</v>
      </c>
      <c r="I298">
        <v>0</v>
      </c>
      <c r="J298">
        <f t="shared" si="86"/>
        <v>0</v>
      </c>
      <c r="K298">
        <v>0</v>
      </c>
      <c r="L298">
        <v>0</v>
      </c>
      <c r="M298">
        <f t="shared" si="87"/>
        <v>0</v>
      </c>
      <c r="N298">
        <v>0</v>
      </c>
      <c r="O298">
        <v>0</v>
      </c>
      <c r="P298">
        <f t="shared" si="88"/>
        <v>0</v>
      </c>
      <c r="Q298">
        <v>0</v>
      </c>
      <c r="R298">
        <v>0</v>
      </c>
      <c r="S298">
        <f t="shared" si="89"/>
        <v>0</v>
      </c>
    </row>
    <row r="299" spans="1:19" x14ac:dyDescent="0.25">
      <c r="A299" t="s">
        <v>290</v>
      </c>
      <c r="B299">
        <v>0</v>
      </c>
      <c r="C299">
        <v>0</v>
      </c>
      <c r="D299">
        <f t="shared" si="84"/>
        <v>0</v>
      </c>
      <c r="E299">
        <v>0</v>
      </c>
      <c r="F299">
        <v>0</v>
      </c>
      <c r="G299">
        <f t="shared" si="85"/>
        <v>0</v>
      </c>
      <c r="H299">
        <v>0</v>
      </c>
      <c r="I299">
        <v>0</v>
      </c>
      <c r="J299">
        <f t="shared" si="86"/>
        <v>0</v>
      </c>
      <c r="K299">
        <v>0</v>
      </c>
      <c r="L299">
        <v>0</v>
      </c>
      <c r="M299">
        <f t="shared" si="87"/>
        <v>0</v>
      </c>
      <c r="N299">
        <v>0</v>
      </c>
      <c r="O299">
        <v>0</v>
      </c>
      <c r="P299">
        <f t="shared" si="88"/>
        <v>0</v>
      </c>
      <c r="Q299">
        <v>0</v>
      </c>
      <c r="R299">
        <v>0</v>
      </c>
      <c r="S299">
        <f t="shared" si="89"/>
        <v>0</v>
      </c>
    </row>
    <row r="300" spans="1:19" x14ac:dyDescent="0.25">
      <c r="A300" t="s">
        <v>291</v>
      </c>
      <c r="B300">
        <v>2</v>
      </c>
      <c r="C300">
        <v>13</v>
      </c>
      <c r="D300">
        <f t="shared" si="84"/>
        <v>15</v>
      </c>
      <c r="E300">
        <v>2</v>
      </c>
      <c r="F300">
        <v>13</v>
      </c>
      <c r="G300">
        <f t="shared" si="85"/>
        <v>15</v>
      </c>
      <c r="H300">
        <v>0</v>
      </c>
      <c r="I300">
        <v>0</v>
      </c>
      <c r="J300">
        <f t="shared" si="86"/>
        <v>0</v>
      </c>
      <c r="K300">
        <v>0</v>
      </c>
      <c r="L300">
        <v>0</v>
      </c>
      <c r="M300">
        <f t="shared" si="87"/>
        <v>0</v>
      </c>
      <c r="N300">
        <v>0</v>
      </c>
      <c r="O300">
        <v>0</v>
      </c>
      <c r="P300">
        <f t="shared" si="88"/>
        <v>0</v>
      </c>
      <c r="Q300">
        <v>0</v>
      </c>
      <c r="R300">
        <v>0</v>
      </c>
      <c r="S300">
        <f t="shared" si="89"/>
        <v>0</v>
      </c>
    </row>
    <row r="301" spans="1:19" x14ac:dyDescent="0.25">
      <c r="A301" t="s">
        <v>292</v>
      </c>
      <c r="B301">
        <v>1</v>
      </c>
      <c r="C301">
        <v>25</v>
      </c>
      <c r="D301">
        <f t="shared" si="84"/>
        <v>26</v>
      </c>
      <c r="E301">
        <v>1</v>
      </c>
      <c r="F301">
        <v>25</v>
      </c>
      <c r="G301">
        <f t="shared" si="85"/>
        <v>26</v>
      </c>
      <c r="H301">
        <v>0</v>
      </c>
      <c r="I301">
        <v>0</v>
      </c>
      <c r="J301">
        <f t="shared" si="86"/>
        <v>0</v>
      </c>
      <c r="K301">
        <v>0</v>
      </c>
      <c r="L301">
        <v>0</v>
      </c>
      <c r="M301">
        <f t="shared" si="87"/>
        <v>0</v>
      </c>
      <c r="N301">
        <v>0</v>
      </c>
      <c r="O301">
        <v>0</v>
      </c>
      <c r="P301">
        <f t="shared" si="88"/>
        <v>0</v>
      </c>
      <c r="Q301">
        <v>0</v>
      </c>
      <c r="R301">
        <v>0</v>
      </c>
      <c r="S301">
        <f t="shared" si="89"/>
        <v>0</v>
      </c>
    </row>
    <row r="302" spans="1:19" x14ac:dyDescent="0.25">
      <c r="A302" t="s">
        <v>293</v>
      </c>
      <c r="B302">
        <v>3</v>
      </c>
      <c r="C302">
        <v>64</v>
      </c>
      <c r="D302">
        <f t="shared" si="84"/>
        <v>67</v>
      </c>
      <c r="E302">
        <v>3</v>
      </c>
      <c r="F302">
        <v>64</v>
      </c>
      <c r="G302">
        <f t="shared" si="85"/>
        <v>67</v>
      </c>
      <c r="H302">
        <v>0</v>
      </c>
      <c r="I302">
        <v>0</v>
      </c>
      <c r="J302">
        <f t="shared" si="86"/>
        <v>0</v>
      </c>
      <c r="K302">
        <v>0</v>
      </c>
      <c r="L302">
        <v>0</v>
      </c>
      <c r="M302">
        <f t="shared" si="87"/>
        <v>0</v>
      </c>
      <c r="N302">
        <v>0</v>
      </c>
      <c r="O302">
        <v>0</v>
      </c>
      <c r="P302">
        <f t="shared" si="88"/>
        <v>0</v>
      </c>
      <c r="Q302">
        <v>0</v>
      </c>
      <c r="R302">
        <v>0</v>
      </c>
      <c r="S302">
        <f t="shared" si="89"/>
        <v>0</v>
      </c>
    </row>
    <row r="303" spans="1:19" x14ac:dyDescent="0.25">
      <c r="A303" t="s">
        <v>294</v>
      </c>
      <c r="B303">
        <v>0</v>
      </c>
      <c r="C303">
        <v>0</v>
      </c>
      <c r="D303">
        <f t="shared" si="84"/>
        <v>0</v>
      </c>
      <c r="E303">
        <v>0</v>
      </c>
      <c r="F303">
        <v>0</v>
      </c>
      <c r="G303">
        <f t="shared" si="85"/>
        <v>0</v>
      </c>
      <c r="H303">
        <v>0</v>
      </c>
      <c r="I303">
        <v>0</v>
      </c>
      <c r="J303">
        <f t="shared" si="86"/>
        <v>0</v>
      </c>
      <c r="K303">
        <v>0</v>
      </c>
      <c r="L303">
        <v>0</v>
      </c>
      <c r="M303">
        <f t="shared" si="87"/>
        <v>0</v>
      </c>
      <c r="N303">
        <v>0</v>
      </c>
      <c r="O303">
        <v>0</v>
      </c>
      <c r="P303">
        <f t="shared" si="88"/>
        <v>0</v>
      </c>
      <c r="Q303">
        <v>0</v>
      </c>
      <c r="R303">
        <v>0</v>
      </c>
      <c r="S303">
        <f t="shared" si="89"/>
        <v>0</v>
      </c>
    </row>
    <row r="304" spans="1:19" x14ac:dyDescent="0.25">
      <c r="A304" t="s">
        <v>295</v>
      </c>
      <c r="B304">
        <v>0</v>
      </c>
      <c r="C304">
        <v>0</v>
      </c>
      <c r="D304">
        <f t="shared" si="84"/>
        <v>0</v>
      </c>
      <c r="E304">
        <v>0</v>
      </c>
      <c r="F304">
        <v>0</v>
      </c>
      <c r="G304">
        <f t="shared" si="85"/>
        <v>0</v>
      </c>
      <c r="H304">
        <v>0</v>
      </c>
      <c r="I304">
        <v>0</v>
      </c>
      <c r="J304">
        <f t="shared" si="86"/>
        <v>0</v>
      </c>
      <c r="K304">
        <v>0</v>
      </c>
      <c r="L304">
        <v>0</v>
      </c>
      <c r="M304">
        <f t="shared" si="87"/>
        <v>0</v>
      </c>
      <c r="N304">
        <v>0</v>
      </c>
      <c r="O304">
        <v>0</v>
      </c>
      <c r="P304">
        <f t="shared" si="88"/>
        <v>0</v>
      </c>
      <c r="Q304">
        <v>0</v>
      </c>
      <c r="R304">
        <v>0</v>
      </c>
      <c r="S304">
        <f t="shared" si="89"/>
        <v>0</v>
      </c>
    </row>
    <row r="305" spans="1:19" x14ac:dyDescent="0.25">
      <c r="A305" t="s">
        <v>296</v>
      </c>
      <c r="B305">
        <v>43</v>
      </c>
      <c r="C305">
        <v>10</v>
      </c>
      <c r="D305">
        <f t="shared" si="84"/>
        <v>53</v>
      </c>
      <c r="E305">
        <v>43</v>
      </c>
      <c r="F305">
        <v>10</v>
      </c>
      <c r="G305">
        <f t="shared" si="85"/>
        <v>53</v>
      </c>
      <c r="H305">
        <v>0</v>
      </c>
      <c r="I305">
        <v>0</v>
      </c>
      <c r="J305">
        <f t="shared" si="86"/>
        <v>0</v>
      </c>
      <c r="K305">
        <v>0</v>
      </c>
      <c r="L305">
        <v>0</v>
      </c>
      <c r="M305">
        <f t="shared" si="87"/>
        <v>0</v>
      </c>
      <c r="N305">
        <v>0</v>
      </c>
      <c r="O305">
        <v>0</v>
      </c>
      <c r="P305">
        <f t="shared" si="88"/>
        <v>0</v>
      </c>
      <c r="Q305">
        <v>0</v>
      </c>
      <c r="R305">
        <v>0</v>
      </c>
      <c r="S305">
        <f t="shared" si="89"/>
        <v>0</v>
      </c>
    </row>
    <row r="306" spans="1:19" x14ac:dyDescent="0.25">
      <c r="A306" t="s">
        <v>297</v>
      </c>
      <c r="B306">
        <v>0</v>
      </c>
      <c r="C306">
        <v>3</v>
      </c>
      <c r="D306">
        <f t="shared" si="84"/>
        <v>3</v>
      </c>
      <c r="E306">
        <v>0</v>
      </c>
      <c r="F306">
        <v>3</v>
      </c>
      <c r="G306">
        <f t="shared" si="85"/>
        <v>3</v>
      </c>
      <c r="H306">
        <v>0</v>
      </c>
      <c r="I306">
        <v>0</v>
      </c>
      <c r="J306">
        <f t="shared" si="86"/>
        <v>0</v>
      </c>
      <c r="K306">
        <v>0</v>
      </c>
      <c r="L306">
        <v>0</v>
      </c>
      <c r="M306">
        <f t="shared" si="87"/>
        <v>0</v>
      </c>
      <c r="N306">
        <v>0</v>
      </c>
      <c r="O306">
        <v>0</v>
      </c>
      <c r="P306">
        <f t="shared" si="88"/>
        <v>0</v>
      </c>
      <c r="Q306">
        <v>0</v>
      </c>
      <c r="R306">
        <v>0</v>
      </c>
      <c r="S306">
        <f t="shared" si="89"/>
        <v>0</v>
      </c>
    </row>
    <row r="307" spans="1:19" x14ac:dyDescent="0.25">
      <c r="A307" t="s">
        <v>298</v>
      </c>
      <c r="B307">
        <v>0</v>
      </c>
      <c r="C307">
        <v>34</v>
      </c>
      <c r="D307">
        <f t="shared" si="84"/>
        <v>34</v>
      </c>
      <c r="E307">
        <v>0</v>
      </c>
      <c r="F307">
        <v>34</v>
      </c>
      <c r="G307">
        <f t="shared" si="85"/>
        <v>34</v>
      </c>
      <c r="H307">
        <v>0</v>
      </c>
      <c r="I307">
        <v>0</v>
      </c>
      <c r="J307">
        <f t="shared" si="86"/>
        <v>0</v>
      </c>
      <c r="K307">
        <v>0</v>
      </c>
      <c r="L307">
        <v>0</v>
      </c>
      <c r="M307">
        <f t="shared" si="87"/>
        <v>0</v>
      </c>
      <c r="N307">
        <v>0</v>
      </c>
      <c r="O307">
        <v>0</v>
      </c>
      <c r="P307">
        <f t="shared" si="88"/>
        <v>0</v>
      </c>
      <c r="Q307">
        <v>0</v>
      </c>
      <c r="R307">
        <v>0</v>
      </c>
      <c r="S307">
        <f t="shared" si="89"/>
        <v>0</v>
      </c>
    </row>
    <row r="308" spans="1:19" x14ac:dyDescent="0.25">
      <c r="A308" t="s">
        <v>299</v>
      </c>
      <c r="B308">
        <v>0</v>
      </c>
      <c r="C308">
        <v>0</v>
      </c>
      <c r="D308">
        <f t="shared" si="84"/>
        <v>0</v>
      </c>
      <c r="E308">
        <v>0</v>
      </c>
      <c r="F308">
        <v>0</v>
      </c>
      <c r="G308">
        <f t="shared" si="85"/>
        <v>0</v>
      </c>
      <c r="H308">
        <v>0</v>
      </c>
      <c r="I308">
        <v>0</v>
      </c>
      <c r="J308">
        <f t="shared" si="86"/>
        <v>0</v>
      </c>
      <c r="K308">
        <v>0</v>
      </c>
      <c r="L308">
        <v>0</v>
      </c>
      <c r="M308">
        <f t="shared" si="87"/>
        <v>0</v>
      </c>
      <c r="N308">
        <v>0</v>
      </c>
      <c r="O308">
        <v>0</v>
      </c>
      <c r="P308">
        <f t="shared" si="88"/>
        <v>0</v>
      </c>
      <c r="Q308">
        <v>0</v>
      </c>
      <c r="R308">
        <v>0</v>
      </c>
      <c r="S308">
        <f t="shared" si="89"/>
        <v>0</v>
      </c>
    </row>
    <row r="309" spans="1:19" x14ac:dyDescent="0.25">
      <c r="A309" t="s">
        <v>300</v>
      </c>
      <c r="B309">
        <v>73</v>
      </c>
      <c r="C309">
        <v>156</v>
      </c>
      <c r="D309">
        <f t="shared" si="84"/>
        <v>229</v>
      </c>
      <c r="E309">
        <v>73</v>
      </c>
      <c r="F309">
        <v>155</v>
      </c>
      <c r="G309">
        <f t="shared" si="85"/>
        <v>228</v>
      </c>
      <c r="H309">
        <v>0</v>
      </c>
      <c r="I309">
        <v>1</v>
      </c>
      <c r="J309">
        <f t="shared" si="86"/>
        <v>1</v>
      </c>
      <c r="K309">
        <v>0</v>
      </c>
      <c r="L309">
        <v>0</v>
      </c>
      <c r="M309">
        <f t="shared" si="87"/>
        <v>0</v>
      </c>
      <c r="N309">
        <v>0</v>
      </c>
      <c r="O309">
        <v>0</v>
      </c>
      <c r="P309">
        <f t="shared" si="88"/>
        <v>0</v>
      </c>
      <c r="Q309">
        <v>0</v>
      </c>
      <c r="R309">
        <v>0</v>
      </c>
      <c r="S309">
        <f t="shared" si="89"/>
        <v>0</v>
      </c>
    </row>
    <row r="310" spans="1:19" x14ac:dyDescent="0.25">
      <c r="A310" t="s">
        <v>301</v>
      </c>
      <c r="B310">
        <v>686</v>
      </c>
      <c r="C310">
        <v>166</v>
      </c>
      <c r="D310">
        <f t="shared" si="84"/>
        <v>852</v>
      </c>
      <c r="E310">
        <v>660</v>
      </c>
      <c r="F310">
        <v>161</v>
      </c>
      <c r="G310">
        <f t="shared" si="85"/>
        <v>821</v>
      </c>
      <c r="H310">
        <v>23</v>
      </c>
      <c r="I310">
        <v>5</v>
      </c>
      <c r="J310">
        <f t="shared" si="86"/>
        <v>28</v>
      </c>
      <c r="K310">
        <v>2</v>
      </c>
      <c r="L310">
        <v>0</v>
      </c>
      <c r="M310">
        <f t="shared" si="87"/>
        <v>2</v>
      </c>
      <c r="N310">
        <v>0</v>
      </c>
      <c r="O310">
        <v>0</v>
      </c>
      <c r="P310">
        <f t="shared" si="88"/>
        <v>0</v>
      </c>
      <c r="Q310">
        <v>1</v>
      </c>
      <c r="R310">
        <v>0</v>
      </c>
      <c r="S310">
        <f t="shared" si="89"/>
        <v>1</v>
      </c>
    </row>
    <row r="311" spans="1:19" x14ac:dyDescent="0.25">
      <c r="A311" t="s">
        <v>302</v>
      </c>
      <c r="B311">
        <v>0</v>
      </c>
      <c r="C311">
        <v>2</v>
      </c>
      <c r="D311">
        <f t="shared" si="84"/>
        <v>2</v>
      </c>
      <c r="E311">
        <v>0</v>
      </c>
      <c r="F311">
        <v>2</v>
      </c>
      <c r="G311">
        <f t="shared" si="85"/>
        <v>2</v>
      </c>
      <c r="H311">
        <v>0</v>
      </c>
      <c r="I311">
        <v>0</v>
      </c>
      <c r="J311">
        <f t="shared" si="86"/>
        <v>0</v>
      </c>
      <c r="K311">
        <v>0</v>
      </c>
      <c r="L311">
        <v>0</v>
      </c>
      <c r="M311">
        <f t="shared" si="87"/>
        <v>0</v>
      </c>
      <c r="N311">
        <v>0</v>
      </c>
      <c r="O311">
        <v>0</v>
      </c>
      <c r="P311">
        <f t="shared" si="88"/>
        <v>0</v>
      </c>
      <c r="Q311">
        <v>0</v>
      </c>
      <c r="R311">
        <v>0</v>
      </c>
      <c r="S311">
        <f t="shared" si="89"/>
        <v>0</v>
      </c>
    </row>
    <row r="312" spans="1:19" x14ac:dyDescent="0.25">
      <c r="A312" t="s">
        <v>303</v>
      </c>
      <c r="B312">
        <v>0</v>
      </c>
      <c r="C312">
        <v>0</v>
      </c>
      <c r="D312">
        <f t="shared" si="84"/>
        <v>0</v>
      </c>
      <c r="E312">
        <v>0</v>
      </c>
      <c r="F312">
        <v>0</v>
      </c>
      <c r="G312">
        <f t="shared" si="85"/>
        <v>0</v>
      </c>
      <c r="H312">
        <v>0</v>
      </c>
      <c r="I312">
        <v>0</v>
      </c>
      <c r="J312">
        <f t="shared" si="86"/>
        <v>0</v>
      </c>
      <c r="K312">
        <v>0</v>
      </c>
      <c r="L312">
        <v>0</v>
      </c>
      <c r="M312">
        <f t="shared" si="87"/>
        <v>0</v>
      </c>
      <c r="N312">
        <v>0</v>
      </c>
      <c r="O312">
        <v>0</v>
      </c>
      <c r="P312">
        <f t="shared" si="88"/>
        <v>0</v>
      </c>
      <c r="Q312">
        <v>0</v>
      </c>
      <c r="R312">
        <v>0</v>
      </c>
      <c r="S312">
        <f t="shared" si="89"/>
        <v>0</v>
      </c>
    </row>
    <row r="313" spans="1:19" x14ac:dyDescent="0.25">
      <c r="A313" t="s">
        <v>304</v>
      </c>
      <c r="B313">
        <v>9</v>
      </c>
      <c r="C313">
        <v>154</v>
      </c>
      <c r="D313">
        <f t="shared" si="84"/>
        <v>163</v>
      </c>
      <c r="E313">
        <v>9</v>
      </c>
      <c r="F313">
        <v>148</v>
      </c>
      <c r="G313">
        <f t="shared" si="85"/>
        <v>157</v>
      </c>
      <c r="H313">
        <v>0</v>
      </c>
      <c r="I313">
        <v>6</v>
      </c>
      <c r="J313">
        <f t="shared" si="86"/>
        <v>6</v>
      </c>
      <c r="K313">
        <v>0</v>
      </c>
      <c r="L313">
        <v>0</v>
      </c>
      <c r="M313">
        <f t="shared" si="87"/>
        <v>0</v>
      </c>
      <c r="N313">
        <v>0</v>
      </c>
      <c r="O313">
        <v>0</v>
      </c>
      <c r="P313">
        <f t="shared" si="88"/>
        <v>0</v>
      </c>
      <c r="Q313">
        <v>0</v>
      </c>
      <c r="R313">
        <v>0</v>
      </c>
      <c r="S313">
        <f t="shared" si="89"/>
        <v>0</v>
      </c>
    </row>
    <row r="314" spans="1:19" x14ac:dyDescent="0.25">
      <c r="A314" t="s">
        <v>305</v>
      </c>
      <c r="B314">
        <v>0</v>
      </c>
      <c r="C314">
        <v>0</v>
      </c>
      <c r="D314">
        <f t="shared" si="84"/>
        <v>0</v>
      </c>
      <c r="E314">
        <v>0</v>
      </c>
      <c r="F314">
        <v>0</v>
      </c>
      <c r="G314">
        <f t="shared" si="85"/>
        <v>0</v>
      </c>
      <c r="H314">
        <v>0</v>
      </c>
      <c r="I314">
        <v>0</v>
      </c>
      <c r="J314">
        <f t="shared" si="86"/>
        <v>0</v>
      </c>
      <c r="K314">
        <v>0</v>
      </c>
      <c r="L314">
        <v>0</v>
      </c>
      <c r="M314">
        <f t="shared" si="87"/>
        <v>0</v>
      </c>
      <c r="N314">
        <v>0</v>
      </c>
      <c r="O314">
        <v>0</v>
      </c>
      <c r="P314">
        <f t="shared" si="88"/>
        <v>0</v>
      </c>
      <c r="Q314">
        <v>0</v>
      </c>
      <c r="R314">
        <v>0</v>
      </c>
      <c r="S314">
        <f t="shared" si="89"/>
        <v>0</v>
      </c>
    </row>
    <row r="315" spans="1:19" x14ac:dyDescent="0.25">
      <c r="A315" t="s">
        <v>306</v>
      </c>
      <c r="B315">
        <v>0</v>
      </c>
      <c r="C315">
        <v>21</v>
      </c>
      <c r="D315">
        <f t="shared" si="84"/>
        <v>21</v>
      </c>
      <c r="E315">
        <v>0</v>
      </c>
      <c r="F315">
        <v>21</v>
      </c>
      <c r="G315">
        <f t="shared" si="85"/>
        <v>21</v>
      </c>
      <c r="H315">
        <v>0</v>
      </c>
      <c r="I315">
        <v>0</v>
      </c>
      <c r="J315">
        <f t="shared" si="86"/>
        <v>0</v>
      </c>
      <c r="K315">
        <v>0</v>
      </c>
      <c r="L315">
        <v>0</v>
      </c>
      <c r="M315">
        <f t="shared" si="87"/>
        <v>0</v>
      </c>
      <c r="N315">
        <v>0</v>
      </c>
      <c r="O315">
        <v>0</v>
      </c>
      <c r="P315">
        <f t="shared" si="88"/>
        <v>0</v>
      </c>
      <c r="Q315">
        <v>0</v>
      </c>
      <c r="R315">
        <v>0</v>
      </c>
      <c r="S315">
        <f t="shared" si="89"/>
        <v>0</v>
      </c>
    </row>
    <row r="316" spans="1:19" x14ac:dyDescent="0.25">
      <c r="A316" t="s">
        <v>307</v>
      </c>
      <c r="B316">
        <v>9</v>
      </c>
      <c r="C316">
        <v>0</v>
      </c>
      <c r="D316">
        <f t="shared" si="84"/>
        <v>9</v>
      </c>
      <c r="E316">
        <v>7</v>
      </c>
      <c r="F316">
        <v>0</v>
      </c>
      <c r="G316">
        <f t="shared" si="85"/>
        <v>7</v>
      </c>
      <c r="H316">
        <v>2</v>
      </c>
      <c r="I316">
        <v>0</v>
      </c>
      <c r="J316">
        <f t="shared" si="86"/>
        <v>2</v>
      </c>
      <c r="K316">
        <v>0</v>
      </c>
      <c r="L316">
        <v>0</v>
      </c>
      <c r="M316">
        <f t="shared" si="87"/>
        <v>0</v>
      </c>
      <c r="N316">
        <v>0</v>
      </c>
      <c r="O316">
        <v>0</v>
      </c>
      <c r="P316">
        <f t="shared" si="88"/>
        <v>0</v>
      </c>
      <c r="Q316">
        <v>0</v>
      </c>
      <c r="R316">
        <v>0</v>
      </c>
      <c r="S316">
        <f t="shared" si="89"/>
        <v>0</v>
      </c>
    </row>
    <row r="317" spans="1:19" x14ac:dyDescent="0.25">
      <c r="A317" t="s">
        <v>308</v>
      </c>
      <c r="B317">
        <v>0</v>
      </c>
      <c r="C317">
        <v>0</v>
      </c>
      <c r="D317">
        <f t="shared" si="84"/>
        <v>0</v>
      </c>
      <c r="E317">
        <v>0</v>
      </c>
      <c r="F317">
        <v>0</v>
      </c>
      <c r="G317">
        <f t="shared" si="85"/>
        <v>0</v>
      </c>
      <c r="H317">
        <v>0</v>
      </c>
      <c r="I317">
        <v>0</v>
      </c>
      <c r="J317">
        <f t="shared" si="86"/>
        <v>0</v>
      </c>
      <c r="K317">
        <v>0</v>
      </c>
      <c r="L317">
        <v>0</v>
      </c>
      <c r="M317">
        <f t="shared" si="87"/>
        <v>0</v>
      </c>
      <c r="N317">
        <v>0</v>
      </c>
      <c r="O317">
        <v>0</v>
      </c>
      <c r="P317">
        <f t="shared" si="88"/>
        <v>0</v>
      </c>
      <c r="Q317">
        <v>0</v>
      </c>
      <c r="R317">
        <v>0</v>
      </c>
      <c r="S317">
        <f t="shared" si="89"/>
        <v>0</v>
      </c>
    </row>
    <row r="318" spans="1:19" x14ac:dyDescent="0.25">
      <c r="A318" t="s">
        <v>309</v>
      </c>
      <c r="B318">
        <v>0</v>
      </c>
      <c r="C318">
        <v>0</v>
      </c>
      <c r="D318">
        <f t="shared" si="84"/>
        <v>0</v>
      </c>
      <c r="E318">
        <v>0</v>
      </c>
      <c r="F318">
        <v>0</v>
      </c>
      <c r="G318">
        <f t="shared" si="85"/>
        <v>0</v>
      </c>
      <c r="H318">
        <v>0</v>
      </c>
      <c r="I318">
        <v>0</v>
      </c>
      <c r="J318">
        <f t="shared" si="86"/>
        <v>0</v>
      </c>
      <c r="K318">
        <v>0</v>
      </c>
      <c r="L318">
        <v>0</v>
      </c>
      <c r="M318">
        <f t="shared" si="87"/>
        <v>0</v>
      </c>
      <c r="N318">
        <v>0</v>
      </c>
      <c r="O318">
        <v>0</v>
      </c>
      <c r="P318">
        <f t="shared" si="88"/>
        <v>0</v>
      </c>
      <c r="Q318">
        <v>0</v>
      </c>
      <c r="R318">
        <v>0</v>
      </c>
      <c r="S318">
        <f t="shared" si="89"/>
        <v>0</v>
      </c>
    </row>
    <row r="319" spans="1:19" x14ac:dyDescent="0.25">
      <c r="A319" t="s">
        <v>310</v>
      </c>
      <c r="B319">
        <v>0</v>
      </c>
      <c r="C319">
        <v>0</v>
      </c>
      <c r="D319">
        <f t="shared" si="84"/>
        <v>0</v>
      </c>
      <c r="E319">
        <v>0</v>
      </c>
      <c r="F319">
        <v>0</v>
      </c>
      <c r="G319">
        <f t="shared" si="85"/>
        <v>0</v>
      </c>
      <c r="H319">
        <v>0</v>
      </c>
      <c r="I319">
        <v>0</v>
      </c>
      <c r="J319">
        <f t="shared" si="86"/>
        <v>0</v>
      </c>
      <c r="K319">
        <v>0</v>
      </c>
      <c r="L319">
        <v>0</v>
      </c>
      <c r="M319">
        <f t="shared" si="87"/>
        <v>0</v>
      </c>
      <c r="N319">
        <v>0</v>
      </c>
      <c r="O319">
        <v>0</v>
      </c>
      <c r="P319">
        <f t="shared" si="88"/>
        <v>0</v>
      </c>
      <c r="Q319">
        <v>0</v>
      </c>
      <c r="R319">
        <v>0</v>
      </c>
      <c r="S319">
        <f t="shared" si="89"/>
        <v>0</v>
      </c>
    </row>
    <row r="320" spans="1:19" x14ac:dyDescent="0.25">
      <c r="A320" t="s">
        <v>311</v>
      </c>
      <c r="B320">
        <v>0</v>
      </c>
      <c r="C320">
        <v>1</v>
      </c>
      <c r="D320">
        <f t="shared" si="84"/>
        <v>1</v>
      </c>
      <c r="E320">
        <v>0</v>
      </c>
      <c r="F320">
        <v>1</v>
      </c>
      <c r="G320">
        <f t="shared" si="85"/>
        <v>1</v>
      </c>
      <c r="H320">
        <v>0</v>
      </c>
      <c r="I320">
        <v>0</v>
      </c>
      <c r="J320">
        <f t="shared" si="86"/>
        <v>0</v>
      </c>
      <c r="K320">
        <v>0</v>
      </c>
      <c r="L320">
        <v>0</v>
      </c>
      <c r="M320">
        <f t="shared" si="87"/>
        <v>0</v>
      </c>
      <c r="N320">
        <v>0</v>
      </c>
      <c r="O320">
        <v>0</v>
      </c>
      <c r="P320">
        <f t="shared" si="88"/>
        <v>0</v>
      </c>
      <c r="Q320">
        <v>0</v>
      </c>
      <c r="R320">
        <v>0</v>
      </c>
      <c r="S320">
        <f t="shared" si="89"/>
        <v>0</v>
      </c>
    </row>
    <row r="321" spans="1:19" x14ac:dyDescent="0.25">
      <c r="A321" t="s">
        <v>312</v>
      </c>
      <c r="B321">
        <v>0</v>
      </c>
      <c r="C321">
        <v>0</v>
      </c>
      <c r="D321">
        <f t="shared" si="84"/>
        <v>0</v>
      </c>
      <c r="E321">
        <v>0</v>
      </c>
      <c r="F321">
        <v>0</v>
      </c>
      <c r="G321">
        <f t="shared" si="85"/>
        <v>0</v>
      </c>
      <c r="H321">
        <v>0</v>
      </c>
      <c r="I321">
        <v>0</v>
      </c>
      <c r="J321">
        <f t="shared" si="86"/>
        <v>0</v>
      </c>
      <c r="K321">
        <v>0</v>
      </c>
      <c r="L321">
        <v>0</v>
      </c>
      <c r="M321">
        <f t="shared" si="87"/>
        <v>0</v>
      </c>
      <c r="N321">
        <v>0</v>
      </c>
      <c r="O321">
        <v>0</v>
      </c>
      <c r="P321">
        <f t="shared" si="88"/>
        <v>0</v>
      </c>
      <c r="Q321">
        <v>0</v>
      </c>
      <c r="R321">
        <v>0</v>
      </c>
      <c r="S321">
        <f t="shared" si="89"/>
        <v>0</v>
      </c>
    </row>
    <row r="322" spans="1:19" x14ac:dyDescent="0.25">
      <c r="A322" t="s">
        <v>313</v>
      </c>
      <c r="B322">
        <v>0</v>
      </c>
      <c r="C322">
        <v>0</v>
      </c>
      <c r="D322">
        <f t="shared" si="84"/>
        <v>0</v>
      </c>
      <c r="E322">
        <v>0</v>
      </c>
      <c r="F322">
        <v>0</v>
      </c>
      <c r="G322">
        <f t="shared" si="85"/>
        <v>0</v>
      </c>
      <c r="H322">
        <v>0</v>
      </c>
      <c r="I322">
        <v>0</v>
      </c>
      <c r="J322">
        <f t="shared" si="86"/>
        <v>0</v>
      </c>
      <c r="K322">
        <v>0</v>
      </c>
      <c r="L322">
        <v>0</v>
      </c>
      <c r="M322">
        <f t="shared" si="87"/>
        <v>0</v>
      </c>
      <c r="N322">
        <v>0</v>
      </c>
      <c r="O322">
        <v>0</v>
      </c>
      <c r="P322">
        <f t="shared" si="88"/>
        <v>0</v>
      </c>
      <c r="Q322">
        <v>0</v>
      </c>
      <c r="R322">
        <v>0</v>
      </c>
      <c r="S322">
        <f t="shared" si="89"/>
        <v>0</v>
      </c>
    </row>
    <row r="323" spans="1:19" x14ac:dyDescent="0.25">
      <c r="A323" t="s">
        <v>314</v>
      </c>
      <c r="B323">
        <v>0</v>
      </c>
      <c r="C323">
        <v>7</v>
      </c>
      <c r="D323">
        <f t="shared" si="84"/>
        <v>7</v>
      </c>
      <c r="E323">
        <v>0</v>
      </c>
      <c r="F323">
        <v>5</v>
      </c>
      <c r="G323">
        <f t="shared" si="85"/>
        <v>5</v>
      </c>
      <c r="H323">
        <v>0</v>
      </c>
      <c r="I323">
        <v>2</v>
      </c>
      <c r="J323">
        <f t="shared" si="86"/>
        <v>2</v>
      </c>
      <c r="K323">
        <v>0</v>
      </c>
      <c r="L323">
        <v>0</v>
      </c>
      <c r="M323">
        <f t="shared" si="87"/>
        <v>0</v>
      </c>
      <c r="N323">
        <v>0</v>
      </c>
      <c r="O323">
        <v>0</v>
      </c>
      <c r="P323">
        <f t="shared" si="88"/>
        <v>0</v>
      </c>
      <c r="Q323">
        <v>0</v>
      </c>
      <c r="R323">
        <v>0</v>
      </c>
      <c r="S323">
        <f t="shared" si="89"/>
        <v>0</v>
      </c>
    </row>
    <row r="324" spans="1:19" x14ac:dyDescent="0.25">
      <c r="A324" t="s">
        <v>315</v>
      </c>
      <c r="B324">
        <v>3</v>
      </c>
      <c r="C324">
        <v>37</v>
      </c>
      <c r="D324">
        <f t="shared" si="84"/>
        <v>40</v>
      </c>
      <c r="E324">
        <v>3</v>
      </c>
      <c r="F324">
        <v>34</v>
      </c>
      <c r="G324">
        <f t="shared" si="85"/>
        <v>37</v>
      </c>
      <c r="H324">
        <v>0</v>
      </c>
      <c r="I324">
        <v>3</v>
      </c>
      <c r="J324">
        <f t="shared" si="86"/>
        <v>3</v>
      </c>
      <c r="K324">
        <v>0</v>
      </c>
      <c r="L324">
        <v>0</v>
      </c>
      <c r="M324">
        <f t="shared" si="87"/>
        <v>0</v>
      </c>
      <c r="N324">
        <v>0</v>
      </c>
      <c r="O324">
        <v>0</v>
      </c>
      <c r="P324">
        <f t="shared" si="88"/>
        <v>0</v>
      </c>
      <c r="Q324">
        <v>0</v>
      </c>
      <c r="R324">
        <v>0</v>
      </c>
      <c r="S324">
        <f t="shared" si="89"/>
        <v>0</v>
      </c>
    </row>
    <row r="325" spans="1:19" x14ac:dyDescent="0.25">
      <c r="A325" t="s">
        <v>316</v>
      </c>
      <c r="B325">
        <v>0</v>
      </c>
      <c r="C325">
        <v>0</v>
      </c>
      <c r="D325">
        <f t="shared" si="84"/>
        <v>0</v>
      </c>
      <c r="E325">
        <v>0</v>
      </c>
      <c r="F325">
        <v>0</v>
      </c>
      <c r="G325">
        <f t="shared" si="85"/>
        <v>0</v>
      </c>
      <c r="H325">
        <v>0</v>
      </c>
      <c r="I325">
        <v>0</v>
      </c>
      <c r="J325">
        <f t="shared" si="86"/>
        <v>0</v>
      </c>
      <c r="K325">
        <v>0</v>
      </c>
      <c r="L325">
        <v>0</v>
      </c>
      <c r="M325">
        <f t="shared" si="87"/>
        <v>0</v>
      </c>
      <c r="N325">
        <v>0</v>
      </c>
      <c r="O325">
        <v>0</v>
      </c>
      <c r="P325">
        <f t="shared" si="88"/>
        <v>0</v>
      </c>
      <c r="Q325">
        <v>0</v>
      </c>
      <c r="R325">
        <v>0</v>
      </c>
      <c r="S325">
        <f t="shared" si="89"/>
        <v>0</v>
      </c>
    </row>
    <row r="326" spans="1:19" x14ac:dyDescent="0.25">
      <c r="A326" t="s">
        <v>317</v>
      </c>
      <c r="B326">
        <v>44</v>
      </c>
      <c r="C326">
        <v>18</v>
      </c>
      <c r="D326">
        <f t="shared" si="84"/>
        <v>62</v>
      </c>
      <c r="E326">
        <v>43</v>
      </c>
      <c r="F326">
        <v>17</v>
      </c>
      <c r="G326">
        <f t="shared" si="85"/>
        <v>60</v>
      </c>
      <c r="H326">
        <v>1</v>
      </c>
      <c r="I326">
        <v>1</v>
      </c>
      <c r="J326">
        <f t="shared" si="86"/>
        <v>2</v>
      </c>
      <c r="K326">
        <v>0</v>
      </c>
      <c r="L326">
        <v>0</v>
      </c>
      <c r="M326">
        <f t="shared" si="87"/>
        <v>0</v>
      </c>
      <c r="N326">
        <v>0</v>
      </c>
      <c r="O326">
        <v>0</v>
      </c>
      <c r="P326">
        <f t="shared" si="88"/>
        <v>0</v>
      </c>
      <c r="Q326">
        <v>0</v>
      </c>
      <c r="R326">
        <v>0</v>
      </c>
      <c r="S326">
        <f t="shared" si="89"/>
        <v>0</v>
      </c>
    </row>
    <row r="327" spans="1:19" x14ac:dyDescent="0.25">
      <c r="A327" t="s">
        <v>318</v>
      </c>
      <c r="B327">
        <v>1</v>
      </c>
      <c r="C327">
        <v>23</v>
      </c>
      <c r="D327">
        <f t="shared" si="84"/>
        <v>24</v>
      </c>
      <c r="E327">
        <v>1</v>
      </c>
      <c r="F327">
        <v>23</v>
      </c>
      <c r="G327">
        <f t="shared" si="85"/>
        <v>24</v>
      </c>
      <c r="H327">
        <v>0</v>
      </c>
      <c r="I327">
        <v>0</v>
      </c>
      <c r="J327">
        <f t="shared" si="86"/>
        <v>0</v>
      </c>
      <c r="K327">
        <v>0</v>
      </c>
      <c r="L327">
        <v>0</v>
      </c>
      <c r="M327">
        <f t="shared" si="87"/>
        <v>0</v>
      </c>
      <c r="N327">
        <v>0</v>
      </c>
      <c r="O327">
        <v>0</v>
      </c>
      <c r="P327">
        <f t="shared" si="88"/>
        <v>0</v>
      </c>
      <c r="Q327">
        <v>0</v>
      </c>
      <c r="R327">
        <v>0</v>
      </c>
      <c r="S327">
        <f t="shared" si="89"/>
        <v>0</v>
      </c>
    </row>
    <row r="329" spans="1:19" x14ac:dyDescent="0.25">
      <c r="A329" s="8" t="s">
        <v>319</v>
      </c>
      <c r="B329" s="8" t="s">
        <v>319</v>
      </c>
      <c r="C329" s="8" t="s">
        <v>319</v>
      </c>
      <c r="D329" s="8" t="s">
        <v>319</v>
      </c>
      <c r="E329" s="8" t="s">
        <v>319</v>
      </c>
      <c r="F329" s="8" t="s">
        <v>319</v>
      </c>
      <c r="G329" s="8" t="s">
        <v>319</v>
      </c>
      <c r="H329" s="8" t="s">
        <v>319</v>
      </c>
      <c r="I329" s="8" t="s">
        <v>319</v>
      </c>
      <c r="J329" s="8" t="s">
        <v>319</v>
      </c>
      <c r="K329" s="8" t="s">
        <v>319</v>
      </c>
      <c r="L329" s="8" t="s">
        <v>319</v>
      </c>
      <c r="M329" s="8" t="s">
        <v>319</v>
      </c>
      <c r="N329" s="8" t="s">
        <v>319</v>
      </c>
      <c r="O329" s="8" t="s">
        <v>319</v>
      </c>
      <c r="P329" s="8" t="s">
        <v>319</v>
      </c>
      <c r="Q329" s="8" t="s">
        <v>319</v>
      </c>
      <c r="R329" s="8" t="s">
        <v>319</v>
      </c>
      <c r="S329" s="8" t="s">
        <v>319</v>
      </c>
    </row>
    <row r="330" spans="1:19" x14ac:dyDescent="0.25">
      <c r="A330" t="s">
        <v>320</v>
      </c>
      <c r="B330">
        <v>0</v>
      </c>
      <c r="C330">
        <v>10</v>
      </c>
      <c r="D330">
        <f>B330+C330</f>
        <v>10</v>
      </c>
      <c r="E330">
        <v>0</v>
      </c>
      <c r="F330">
        <v>10</v>
      </c>
      <c r="G330">
        <f>E330+F330</f>
        <v>10</v>
      </c>
      <c r="H330">
        <v>0</v>
      </c>
      <c r="I330">
        <v>0</v>
      </c>
      <c r="J330">
        <f>H330+I330</f>
        <v>0</v>
      </c>
      <c r="K330">
        <v>0</v>
      </c>
      <c r="L330">
        <v>0</v>
      </c>
      <c r="M330">
        <f>K330+L330</f>
        <v>0</v>
      </c>
      <c r="N330">
        <v>0</v>
      </c>
      <c r="O330">
        <v>0</v>
      </c>
      <c r="P330">
        <f>N330+O330</f>
        <v>0</v>
      </c>
      <c r="Q330">
        <v>0</v>
      </c>
      <c r="R330">
        <v>0</v>
      </c>
      <c r="S330">
        <f>Q330+R330</f>
        <v>0</v>
      </c>
    </row>
    <row r="331" spans="1:19" x14ac:dyDescent="0.25">
      <c r="A331" t="s">
        <v>321</v>
      </c>
      <c r="B331">
        <v>19</v>
      </c>
      <c r="C331">
        <v>10</v>
      </c>
      <c r="D331">
        <f>B331+C331</f>
        <v>29</v>
      </c>
      <c r="E331">
        <v>19</v>
      </c>
      <c r="F331">
        <v>10</v>
      </c>
      <c r="G331">
        <f>E331+F331</f>
        <v>29</v>
      </c>
      <c r="H331">
        <v>0</v>
      </c>
      <c r="I331">
        <v>0</v>
      </c>
      <c r="J331">
        <f>H331+I331</f>
        <v>0</v>
      </c>
      <c r="K331">
        <v>0</v>
      </c>
      <c r="L331">
        <v>0</v>
      </c>
      <c r="M331">
        <f>K331+L331</f>
        <v>0</v>
      </c>
      <c r="N331">
        <v>0</v>
      </c>
      <c r="O331">
        <v>0</v>
      </c>
      <c r="P331">
        <f>N331+O331</f>
        <v>0</v>
      </c>
      <c r="Q331">
        <v>0</v>
      </c>
      <c r="R331">
        <v>0</v>
      </c>
      <c r="S331">
        <f>Q331+R331</f>
        <v>0</v>
      </c>
    </row>
    <row r="333" spans="1:19" x14ac:dyDescent="0.25">
      <c r="A333" s="8" t="s">
        <v>322</v>
      </c>
      <c r="B333" s="8" t="s">
        <v>322</v>
      </c>
      <c r="C333" s="8" t="s">
        <v>322</v>
      </c>
      <c r="D333" s="8" t="s">
        <v>322</v>
      </c>
      <c r="E333" s="8" t="s">
        <v>322</v>
      </c>
      <c r="F333" s="8" t="s">
        <v>322</v>
      </c>
      <c r="G333" s="8" t="s">
        <v>322</v>
      </c>
      <c r="H333" s="8" t="s">
        <v>322</v>
      </c>
      <c r="I333" s="8" t="s">
        <v>322</v>
      </c>
      <c r="J333" s="8" t="s">
        <v>322</v>
      </c>
      <c r="K333" s="8" t="s">
        <v>322</v>
      </c>
      <c r="L333" s="8" t="s">
        <v>322</v>
      </c>
      <c r="M333" s="8" t="s">
        <v>322</v>
      </c>
      <c r="N333" s="8" t="s">
        <v>322</v>
      </c>
      <c r="O333" s="8" t="s">
        <v>322</v>
      </c>
      <c r="P333" s="8" t="s">
        <v>322</v>
      </c>
      <c r="Q333" s="8" t="s">
        <v>322</v>
      </c>
      <c r="R333" s="8" t="s">
        <v>322</v>
      </c>
      <c r="S333" s="8" t="s">
        <v>322</v>
      </c>
    </row>
    <row r="334" spans="1:19" x14ac:dyDescent="0.25">
      <c r="A334" t="s">
        <v>323</v>
      </c>
      <c r="B334">
        <v>0</v>
      </c>
      <c r="C334">
        <v>0</v>
      </c>
      <c r="D334">
        <f>B334+C334</f>
        <v>0</v>
      </c>
      <c r="E334">
        <v>0</v>
      </c>
      <c r="F334">
        <v>0</v>
      </c>
      <c r="G334">
        <f>E334+F334</f>
        <v>0</v>
      </c>
      <c r="H334">
        <v>0</v>
      </c>
      <c r="I334">
        <v>0</v>
      </c>
      <c r="J334">
        <f>H334+I334</f>
        <v>0</v>
      </c>
      <c r="K334">
        <v>0</v>
      </c>
      <c r="L334">
        <v>0</v>
      </c>
      <c r="M334">
        <f>K334+L334</f>
        <v>0</v>
      </c>
      <c r="N334">
        <v>0</v>
      </c>
      <c r="O334">
        <v>0</v>
      </c>
      <c r="P334">
        <f>N334+O334</f>
        <v>0</v>
      </c>
      <c r="Q334">
        <v>0</v>
      </c>
      <c r="R334">
        <v>0</v>
      </c>
      <c r="S334">
        <f>Q334+R334</f>
        <v>0</v>
      </c>
    </row>
    <row r="336" spans="1:19" x14ac:dyDescent="0.25">
      <c r="A336" s="9" t="s">
        <v>324</v>
      </c>
      <c r="B336" s="9">
        <f t="shared" ref="B336:S336" si="90">SUM(B2:B335)</f>
        <v>16233</v>
      </c>
      <c r="C336" s="9">
        <f t="shared" si="90"/>
        <v>6340</v>
      </c>
      <c r="D336" s="9">
        <f t="shared" si="90"/>
        <v>22573</v>
      </c>
      <c r="E336" s="9">
        <f t="shared" si="90"/>
        <v>10527</v>
      </c>
      <c r="F336" s="9">
        <f t="shared" si="90"/>
        <v>5520</v>
      </c>
      <c r="G336" s="9">
        <f t="shared" si="90"/>
        <v>16047</v>
      </c>
      <c r="H336" s="9">
        <f t="shared" si="90"/>
        <v>1758</v>
      </c>
      <c r="I336" s="9">
        <f t="shared" si="90"/>
        <v>383</v>
      </c>
      <c r="J336" s="9">
        <f t="shared" si="90"/>
        <v>2141</v>
      </c>
      <c r="K336" s="9">
        <f t="shared" si="90"/>
        <v>1073</v>
      </c>
      <c r="L336" s="9">
        <f t="shared" si="90"/>
        <v>132</v>
      </c>
      <c r="M336" s="9">
        <f t="shared" si="90"/>
        <v>1205</v>
      </c>
      <c r="N336" s="9">
        <f t="shared" si="90"/>
        <v>561</v>
      </c>
      <c r="O336" s="9">
        <f t="shared" si="90"/>
        <v>100</v>
      </c>
      <c r="P336" s="9">
        <f t="shared" si="90"/>
        <v>661</v>
      </c>
      <c r="Q336" s="9">
        <f t="shared" si="90"/>
        <v>2314</v>
      </c>
      <c r="R336" s="9">
        <f t="shared" si="90"/>
        <v>205</v>
      </c>
      <c r="S336" s="9">
        <f t="shared" si="90"/>
        <v>2519</v>
      </c>
    </row>
  </sheetData>
  <mergeCells count="43">
    <mergeCell ref="R336"/>
    <mergeCell ref="S336"/>
    <mergeCell ref="M336"/>
    <mergeCell ref="N336"/>
    <mergeCell ref="O336"/>
    <mergeCell ref="P336"/>
    <mergeCell ref="Q336"/>
    <mergeCell ref="A281:S281"/>
    <mergeCell ref="A295:S295"/>
    <mergeCell ref="A329:S329"/>
    <mergeCell ref="A333:S333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A138:S138"/>
    <mergeCell ref="A177:S177"/>
    <mergeCell ref="A193:S193"/>
    <mergeCell ref="A209:S209"/>
    <mergeCell ref="A253:S253"/>
    <mergeCell ref="A61:S61"/>
    <mergeCell ref="A87:S87"/>
    <mergeCell ref="A98:S98"/>
    <mergeCell ref="A114:S114"/>
    <mergeCell ref="A124:S124"/>
    <mergeCell ref="N1:P1"/>
    <mergeCell ref="Q1:S1"/>
    <mergeCell ref="A3:S3"/>
    <mergeCell ref="A16:S16"/>
    <mergeCell ref="A43:S43"/>
    <mergeCell ref="A1"/>
    <mergeCell ref="B1:D1"/>
    <mergeCell ref="E1:G1"/>
    <mergeCell ref="H1:J1"/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50" customWidth="1"/>
    <col min="2" max="5" width="8.85546875" customWidth="1"/>
  </cols>
  <sheetData>
    <row r="1" spans="1:5" x14ac:dyDescent="0.25">
      <c r="A1" s="9" t="s">
        <v>338</v>
      </c>
      <c r="B1" s="9" t="s">
        <v>338</v>
      </c>
      <c r="C1" s="9" t="s">
        <v>338</v>
      </c>
      <c r="D1" s="9" t="s">
        <v>338</v>
      </c>
      <c r="E1" s="9" t="s">
        <v>338</v>
      </c>
    </row>
    <row r="2" spans="1:5" x14ac:dyDescent="0.25">
      <c r="A2" s="9" t="s">
        <v>0</v>
      </c>
      <c r="B2" s="10" t="s">
        <v>339</v>
      </c>
      <c r="C2" s="10" t="s">
        <v>340</v>
      </c>
      <c r="D2" s="10" t="s">
        <v>324</v>
      </c>
      <c r="E2" s="10" t="s">
        <v>331</v>
      </c>
    </row>
    <row r="3" spans="1:5" x14ac:dyDescent="0.25">
      <c r="A3" t="s">
        <v>181</v>
      </c>
      <c r="B3">
        <v>11692</v>
      </c>
      <c r="C3">
        <v>586</v>
      </c>
      <c r="D3">
        <f t="shared" ref="D3:D22" si="0">B3 + C3</f>
        <v>12278</v>
      </c>
      <c r="E3">
        <f>IF(D26&gt;0,ROUND((D3/D26) * 100, 4), "")</f>
        <v>35.271500000000003</v>
      </c>
    </row>
    <row r="4" spans="1:5" x14ac:dyDescent="0.25">
      <c r="A4" t="s">
        <v>285</v>
      </c>
      <c r="B4">
        <v>4375</v>
      </c>
      <c r="C4">
        <v>190</v>
      </c>
      <c r="D4">
        <f t="shared" si="0"/>
        <v>4565</v>
      </c>
      <c r="E4">
        <f>IF(D26&gt;0,ROUND((D4/D26) * 100, 4), "")</f>
        <v>13.114000000000001</v>
      </c>
    </row>
    <row r="5" spans="1:5" x14ac:dyDescent="0.25">
      <c r="A5" t="s">
        <v>283</v>
      </c>
      <c r="B5">
        <v>2171</v>
      </c>
      <c r="C5">
        <v>415</v>
      </c>
      <c r="D5">
        <f t="shared" si="0"/>
        <v>2586</v>
      </c>
      <c r="E5">
        <f>IF(D26&gt;0,ROUND((D5/D26) * 100, 4), "")</f>
        <v>7.4288999999999996</v>
      </c>
    </row>
    <row r="6" spans="1:5" x14ac:dyDescent="0.25">
      <c r="A6" t="s">
        <v>22</v>
      </c>
      <c r="B6">
        <v>2356</v>
      </c>
      <c r="C6">
        <v>38</v>
      </c>
      <c r="D6">
        <f t="shared" si="0"/>
        <v>2394</v>
      </c>
      <c r="E6">
        <f>IF(D26&gt;0,ROUND((D6/D26) * 100, 4), "")</f>
        <v>6.8773</v>
      </c>
    </row>
    <row r="7" spans="1:5" x14ac:dyDescent="0.25">
      <c r="A7" t="s">
        <v>301</v>
      </c>
      <c r="B7">
        <v>907</v>
      </c>
      <c r="C7">
        <v>183</v>
      </c>
      <c r="D7">
        <f t="shared" si="0"/>
        <v>1090</v>
      </c>
      <c r="E7">
        <f>IF(D26&gt;0,ROUND((D7/D26) * 100, 4), "")</f>
        <v>3.1313</v>
      </c>
    </row>
    <row r="8" spans="1:5" x14ac:dyDescent="0.25">
      <c r="A8" t="s">
        <v>178</v>
      </c>
      <c r="B8">
        <v>567</v>
      </c>
      <c r="C8">
        <v>301</v>
      </c>
      <c r="D8">
        <f t="shared" si="0"/>
        <v>868</v>
      </c>
      <c r="E8">
        <f>IF(D26&gt;0,ROUND((D8/D26) * 100, 4), "")</f>
        <v>2.4935</v>
      </c>
    </row>
    <row r="9" spans="1:5" x14ac:dyDescent="0.25">
      <c r="A9" t="s">
        <v>72</v>
      </c>
      <c r="B9">
        <v>414</v>
      </c>
      <c r="C9">
        <v>428</v>
      </c>
      <c r="D9">
        <f t="shared" si="0"/>
        <v>842</v>
      </c>
      <c r="E9">
        <f>IF(D26&gt;0,ROUND((D9/D26) * 100, 4), "")</f>
        <v>2.4188000000000001</v>
      </c>
    </row>
    <row r="10" spans="1:5" x14ac:dyDescent="0.25">
      <c r="A10" t="s">
        <v>156</v>
      </c>
      <c r="B10">
        <v>209</v>
      </c>
      <c r="C10">
        <v>588</v>
      </c>
      <c r="D10">
        <f t="shared" si="0"/>
        <v>797</v>
      </c>
      <c r="E10">
        <f>IF(D26&gt;0,ROUND((D10/D26) * 100, 4), "")</f>
        <v>2.2896000000000001</v>
      </c>
    </row>
    <row r="11" spans="1:5" x14ac:dyDescent="0.25">
      <c r="A11" t="s">
        <v>73</v>
      </c>
      <c r="B11">
        <v>441</v>
      </c>
      <c r="C11">
        <v>180</v>
      </c>
      <c r="D11">
        <f t="shared" si="0"/>
        <v>621</v>
      </c>
      <c r="E11">
        <f>IF(D26&gt;0,ROUND((D11/D26) * 100, 4), "")</f>
        <v>1.784</v>
      </c>
    </row>
    <row r="12" spans="1:5" x14ac:dyDescent="0.25">
      <c r="A12" t="s">
        <v>128</v>
      </c>
      <c r="B12">
        <v>276</v>
      </c>
      <c r="C12">
        <v>319</v>
      </c>
      <c r="D12">
        <f t="shared" si="0"/>
        <v>595</v>
      </c>
      <c r="E12">
        <f>IF(D26&gt;0,ROUND((D12/D26) * 100, 4), "")</f>
        <v>1.7093</v>
      </c>
    </row>
    <row r="13" spans="1:5" x14ac:dyDescent="0.25">
      <c r="A13" t="s">
        <v>180</v>
      </c>
      <c r="B13">
        <v>283</v>
      </c>
      <c r="C13">
        <v>225</v>
      </c>
      <c r="D13">
        <f t="shared" si="0"/>
        <v>508</v>
      </c>
      <c r="E13">
        <f>IF(D26&gt;0,ROUND((D13/D26) * 100, 4), "")</f>
        <v>1.4594</v>
      </c>
    </row>
    <row r="14" spans="1:5" x14ac:dyDescent="0.25">
      <c r="A14" t="s">
        <v>55</v>
      </c>
      <c r="B14">
        <v>36</v>
      </c>
      <c r="C14">
        <v>363</v>
      </c>
      <c r="D14">
        <f t="shared" si="0"/>
        <v>399</v>
      </c>
      <c r="E14">
        <f>IF(D26&gt;0,ROUND((D14/D26) * 100, 4), "")</f>
        <v>1.1462000000000001</v>
      </c>
    </row>
    <row r="15" spans="1:5" x14ac:dyDescent="0.25">
      <c r="A15" t="s">
        <v>41</v>
      </c>
      <c r="B15">
        <v>207</v>
      </c>
      <c r="C15">
        <v>126</v>
      </c>
      <c r="D15">
        <f t="shared" si="0"/>
        <v>333</v>
      </c>
      <c r="E15">
        <f>IF(D26&gt;0,ROUND((D15/D26) * 100, 4), "")</f>
        <v>0.95660000000000001</v>
      </c>
    </row>
    <row r="16" spans="1:5" x14ac:dyDescent="0.25">
      <c r="A16" t="s">
        <v>25</v>
      </c>
      <c r="B16">
        <v>93</v>
      </c>
      <c r="C16">
        <v>231</v>
      </c>
      <c r="D16">
        <f t="shared" si="0"/>
        <v>324</v>
      </c>
      <c r="E16">
        <f>IF(D26&gt;0,ROUND((D16/D26) * 100, 4), "")</f>
        <v>0.93079999999999996</v>
      </c>
    </row>
    <row r="17" spans="1:5" x14ac:dyDescent="0.25">
      <c r="A17" t="s">
        <v>255</v>
      </c>
      <c r="B17">
        <v>15</v>
      </c>
      <c r="C17">
        <v>279</v>
      </c>
      <c r="D17">
        <f t="shared" si="0"/>
        <v>294</v>
      </c>
      <c r="E17">
        <f>IF(D26&gt;0,ROUND((D17/D26) * 100, 4), "")</f>
        <v>0.84460000000000002</v>
      </c>
    </row>
    <row r="18" spans="1:5" x14ac:dyDescent="0.25">
      <c r="A18" t="s">
        <v>284</v>
      </c>
      <c r="B18">
        <v>214</v>
      </c>
      <c r="C18">
        <v>62</v>
      </c>
      <c r="D18">
        <f t="shared" si="0"/>
        <v>276</v>
      </c>
      <c r="E18">
        <f>IF(D26&gt;0,ROUND((D18/D26) * 100, 4), "")</f>
        <v>0.79290000000000005</v>
      </c>
    </row>
    <row r="19" spans="1:5" x14ac:dyDescent="0.25">
      <c r="A19" t="s">
        <v>300</v>
      </c>
      <c r="B19">
        <v>75</v>
      </c>
      <c r="C19">
        <v>197</v>
      </c>
      <c r="D19">
        <f t="shared" si="0"/>
        <v>272</v>
      </c>
      <c r="E19">
        <f>IF(D26&gt;0,ROUND((D19/D26) * 100, 4), "")</f>
        <v>0.78139999999999998</v>
      </c>
    </row>
    <row r="20" spans="1:5" x14ac:dyDescent="0.25">
      <c r="A20" t="s">
        <v>91</v>
      </c>
      <c r="B20">
        <v>33</v>
      </c>
      <c r="C20">
        <v>209</v>
      </c>
      <c r="D20">
        <f t="shared" si="0"/>
        <v>242</v>
      </c>
      <c r="E20">
        <f>IF(D26&gt;0,ROUND((D20/D26) * 100, 4), "")</f>
        <v>0.69520000000000004</v>
      </c>
    </row>
    <row r="21" spans="1:5" x14ac:dyDescent="0.25">
      <c r="A21" t="s">
        <v>219</v>
      </c>
      <c r="B21">
        <v>13</v>
      </c>
      <c r="C21">
        <v>223</v>
      </c>
      <c r="D21">
        <f t="shared" si="0"/>
        <v>236</v>
      </c>
      <c r="E21">
        <f>IF(D26&gt;0,ROUND((D21/D26) * 100, 4), "")</f>
        <v>0.67800000000000005</v>
      </c>
    </row>
    <row r="22" spans="1:5" x14ac:dyDescent="0.25">
      <c r="A22" t="s">
        <v>304</v>
      </c>
      <c r="B22">
        <v>17</v>
      </c>
      <c r="C22">
        <v>217</v>
      </c>
      <c r="D22">
        <f t="shared" si="0"/>
        <v>234</v>
      </c>
      <c r="E22">
        <f>IF(D26&gt;0,ROUND((D22/D26) * 100, 4), "")</f>
        <v>0.67220000000000002</v>
      </c>
    </row>
    <row r="24" spans="1:5" x14ac:dyDescent="0.25">
      <c r="A24" t="s">
        <v>341</v>
      </c>
      <c r="B24">
        <v>24394</v>
      </c>
      <c r="C24">
        <v>5360</v>
      </c>
      <c r="D24">
        <v>29754</v>
      </c>
      <c r="E24">
        <f>SUM(E3:E22)</f>
        <v>85.475500000000011</v>
      </c>
    </row>
    <row r="25" spans="1:5" x14ac:dyDescent="0.25">
      <c r="A25" t="s">
        <v>342</v>
      </c>
      <c r="B25">
        <v>1374</v>
      </c>
      <c r="C25">
        <v>3682</v>
      </c>
      <c r="D25">
        <v>5056</v>
      </c>
      <c r="E25">
        <f>100 - E24</f>
        <v>14.524499999999989</v>
      </c>
    </row>
    <row r="26" spans="1:5" x14ac:dyDescent="0.25">
      <c r="A26" t="s">
        <v>324</v>
      </c>
      <c r="B26">
        <v>25768</v>
      </c>
      <c r="C26">
        <v>9042</v>
      </c>
      <c r="D26">
        <v>34810</v>
      </c>
      <c r="E26">
        <v>100</v>
      </c>
    </row>
  </sheetData>
  <mergeCells count="6">
    <mergeCell ref="A1:E1"/>
    <mergeCell ref="A2"/>
    <mergeCell ref="B2"/>
    <mergeCell ref="C2"/>
    <mergeCell ref="D2"/>
    <mergeCell ref="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width="50" customWidth="1"/>
    <col min="2" max="2" width="12.7109375" bestFit="1" customWidth="1"/>
    <col min="3" max="3" width="11.140625" customWidth="1"/>
    <col min="4" max="4" width="13.28515625" bestFit="1" customWidth="1"/>
    <col min="5" max="5" width="11.140625" customWidth="1"/>
    <col min="6" max="6" width="13.140625" bestFit="1" customWidth="1"/>
    <col min="7" max="8" width="11.140625" customWidth="1"/>
  </cols>
  <sheetData>
    <row r="1" spans="1:8" x14ac:dyDescent="0.25">
      <c r="A1" s="9" t="s">
        <v>0</v>
      </c>
      <c r="B1" s="10" t="s">
        <v>325</v>
      </c>
      <c r="C1" s="10" t="s">
        <v>331</v>
      </c>
      <c r="D1" s="10" t="s">
        <v>326</v>
      </c>
      <c r="E1" s="10" t="s">
        <v>331</v>
      </c>
      <c r="F1" s="10" t="s">
        <v>327</v>
      </c>
      <c r="G1" s="10" t="s">
        <v>331</v>
      </c>
      <c r="H1" s="10" t="s">
        <v>324</v>
      </c>
    </row>
    <row r="2" spans="1:8" x14ac:dyDescent="0.25">
      <c r="A2" t="s">
        <v>181</v>
      </c>
      <c r="B2">
        <v>1134</v>
      </c>
      <c r="C2">
        <f t="shared" ref="C2:C21" si="0">IF(H2&gt;0,ROUND((B2/H2) * 100, 4), "")</f>
        <v>21.011700000000001</v>
      </c>
      <c r="D2">
        <v>2907</v>
      </c>
      <c r="E2">
        <f t="shared" ref="E2:E21" si="1">IF(H2&gt;0,ROUND((D2/H2) * 100, 4), "")</f>
        <v>53.863300000000002</v>
      </c>
      <c r="F2">
        <v>1356</v>
      </c>
      <c r="G2">
        <f t="shared" ref="G2:G21" si="2">IF(H2&gt;0,ROUND((F2/H2) * 100, 4), "")</f>
        <v>25.1251</v>
      </c>
      <c r="H2">
        <v>5397</v>
      </c>
    </row>
    <row r="3" spans="1:8" x14ac:dyDescent="0.25">
      <c r="A3" t="s">
        <v>285</v>
      </c>
      <c r="B3">
        <v>276</v>
      </c>
      <c r="C3">
        <f t="shared" si="0"/>
        <v>8.1463999999999999</v>
      </c>
      <c r="D3">
        <v>2559</v>
      </c>
      <c r="E3">
        <f t="shared" si="1"/>
        <v>75.531300000000002</v>
      </c>
      <c r="F3">
        <v>553</v>
      </c>
      <c r="G3">
        <f t="shared" si="2"/>
        <v>16.322299999999998</v>
      </c>
      <c r="H3">
        <v>3388</v>
      </c>
    </row>
    <row r="4" spans="1:8" x14ac:dyDescent="0.25">
      <c r="A4" t="s">
        <v>283</v>
      </c>
      <c r="B4">
        <v>893</v>
      </c>
      <c r="C4">
        <f t="shared" si="0"/>
        <v>35.157499999999999</v>
      </c>
      <c r="D4">
        <v>1154</v>
      </c>
      <c r="E4">
        <f t="shared" si="1"/>
        <v>45.433100000000003</v>
      </c>
      <c r="F4">
        <v>493</v>
      </c>
      <c r="G4">
        <f t="shared" si="2"/>
        <v>19.409400000000002</v>
      </c>
      <c r="H4">
        <v>2540</v>
      </c>
    </row>
    <row r="5" spans="1:8" x14ac:dyDescent="0.25">
      <c r="A5" t="s">
        <v>22</v>
      </c>
      <c r="B5">
        <v>746</v>
      </c>
      <c r="C5">
        <f t="shared" si="0"/>
        <v>35.155500000000004</v>
      </c>
      <c r="D5">
        <v>1235</v>
      </c>
      <c r="E5">
        <f t="shared" si="1"/>
        <v>58.199800000000003</v>
      </c>
      <c r="F5">
        <v>141</v>
      </c>
      <c r="G5">
        <f t="shared" si="2"/>
        <v>6.6447000000000003</v>
      </c>
      <c r="H5">
        <v>2122</v>
      </c>
    </row>
    <row r="6" spans="1:8" x14ac:dyDescent="0.25">
      <c r="A6" t="s">
        <v>301</v>
      </c>
      <c r="B6">
        <v>214</v>
      </c>
      <c r="C6">
        <f t="shared" si="0"/>
        <v>25.1174</v>
      </c>
      <c r="D6">
        <v>443</v>
      </c>
      <c r="E6">
        <f t="shared" si="1"/>
        <v>51.9953</v>
      </c>
      <c r="F6">
        <v>195</v>
      </c>
      <c r="G6">
        <f t="shared" si="2"/>
        <v>22.8873</v>
      </c>
      <c r="H6">
        <v>852</v>
      </c>
    </row>
    <row r="7" spans="1:8" x14ac:dyDescent="0.25">
      <c r="A7" t="s">
        <v>72</v>
      </c>
      <c r="B7">
        <v>9</v>
      </c>
      <c r="C7">
        <f t="shared" si="0"/>
        <v>1.44</v>
      </c>
      <c r="D7">
        <v>276</v>
      </c>
      <c r="E7">
        <f t="shared" si="1"/>
        <v>44.16</v>
      </c>
      <c r="F7">
        <v>340</v>
      </c>
      <c r="G7">
        <f t="shared" si="2"/>
        <v>54.4</v>
      </c>
      <c r="H7">
        <v>625</v>
      </c>
    </row>
    <row r="8" spans="1:8" x14ac:dyDescent="0.25">
      <c r="A8" t="s">
        <v>178</v>
      </c>
      <c r="B8">
        <v>23</v>
      </c>
      <c r="C8">
        <f t="shared" si="0"/>
        <v>3.7338</v>
      </c>
      <c r="D8">
        <v>297</v>
      </c>
      <c r="E8">
        <f t="shared" si="1"/>
        <v>48.214300000000001</v>
      </c>
      <c r="F8">
        <v>296</v>
      </c>
      <c r="G8">
        <f t="shared" si="2"/>
        <v>48.051900000000003</v>
      </c>
      <c r="H8">
        <v>616</v>
      </c>
    </row>
    <row r="9" spans="1:8" x14ac:dyDescent="0.25">
      <c r="A9" t="s">
        <v>156</v>
      </c>
      <c r="B9">
        <v>72</v>
      </c>
      <c r="C9">
        <f t="shared" si="0"/>
        <v>12.5654</v>
      </c>
      <c r="D9">
        <v>272</v>
      </c>
      <c r="E9">
        <f t="shared" si="1"/>
        <v>47.469499999999996</v>
      </c>
      <c r="F9">
        <v>229</v>
      </c>
      <c r="G9">
        <f t="shared" si="2"/>
        <v>39.9651</v>
      </c>
      <c r="H9">
        <v>573</v>
      </c>
    </row>
    <row r="10" spans="1:8" x14ac:dyDescent="0.25">
      <c r="A10" t="s">
        <v>180</v>
      </c>
      <c r="B10">
        <v>14</v>
      </c>
      <c r="C10">
        <f t="shared" si="0"/>
        <v>2.7027000000000001</v>
      </c>
      <c r="D10">
        <v>321</v>
      </c>
      <c r="E10">
        <f t="shared" si="1"/>
        <v>61.969099999999997</v>
      </c>
      <c r="F10">
        <v>183</v>
      </c>
      <c r="G10">
        <f t="shared" si="2"/>
        <v>35.328200000000002</v>
      </c>
      <c r="H10">
        <v>518</v>
      </c>
    </row>
    <row r="11" spans="1:8" x14ac:dyDescent="0.25">
      <c r="A11" t="s">
        <v>73</v>
      </c>
      <c r="B11">
        <v>51</v>
      </c>
      <c r="C11">
        <f t="shared" si="0"/>
        <v>13.4565</v>
      </c>
      <c r="D11">
        <v>221</v>
      </c>
      <c r="E11">
        <f t="shared" si="1"/>
        <v>58.311300000000003</v>
      </c>
      <c r="F11">
        <v>107</v>
      </c>
      <c r="G11">
        <f t="shared" si="2"/>
        <v>28.232199999999999</v>
      </c>
      <c r="H11">
        <v>379</v>
      </c>
    </row>
    <row r="12" spans="1:8" x14ac:dyDescent="0.25">
      <c r="A12" t="s">
        <v>128</v>
      </c>
      <c r="B12">
        <v>17</v>
      </c>
      <c r="C12">
        <f t="shared" si="0"/>
        <v>5.5556000000000001</v>
      </c>
      <c r="D12">
        <v>175</v>
      </c>
      <c r="E12">
        <f t="shared" si="1"/>
        <v>57.189500000000002</v>
      </c>
      <c r="F12">
        <v>114</v>
      </c>
      <c r="G12">
        <f t="shared" si="2"/>
        <v>37.254899999999999</v>
      </c>
      <c r="H12">
        <v>306</v>
      </c>
    </row>
    <row r="13" spans="1:8" x14ac:dyDescent="0.25">
      <c r="A13" t="s">
        <v>55</v>
      </c>
      <c r="B13">
        <v>54</v>
      </c>
      <c r="C13">
        <f t="shared" si="0"/>
        <v>19.926200000000001</v>
      </c>
      <c r="D13">
        <v>141</v>
      </c>
      <c r="E13">
        <f t="shared" si="1"/>
        <v>52.029499999999999</v>
      </c>
      <c r="F13">
        <v>76</v>
      </c>
      <c r="G13">
        <f t="shared" si="2"/>
        <v>28.0443</v>
      </c>
      <c r="H13">
        <v>271</v>
      </c>
    </row>
    <row r="14" spans="1:8" x14ac:dyDescent="0.25">
      <c r="A14" t="s">
        <v>300</v>
      </c>
      <c r="B14">
        <v>38</v>
      </c>
      <c r="C14">
        <f t="shared" si="0"/>
        <v>16.593900000000001</v>
      </c>
      <c r="D14">
        <v>74</v>
      </c>
      <c r="E14">
        <f t="shared" si="1"/>
        <v>32.314399999999999</v>
      </c>
      <c r="F14">
        <v>117</v>
      </c>
      <c r="G14">
        <f t="shared" si="2"/>
        <v>51.091700000000003</v>
      </c>
      <c r="H14">
        <v>229</v>
      </c>
    </row>
    <row r="15" spans="1:8" x14ac:dyDescent="0.25">
      <c r="A15" t="s">
        <v>25</v>
      </c>
      <c r="B15">
        <v>16</v>
      </c>
      <c r="C15">
        <f t="shared" si="0"/>
        <v>7.3733000000000004</v>
      </c>
      <c r="D15">
        <v>109</v>
      </c>
      <c r="E15">
        <f t="shared" si="1"/>
        <v>50.230400000000003</v>
      </c>
      <c r="F15">
        <v>92</v>
      </c>
      <c r="G15">
        <f t="shared" si="2"/>
        <v>42.396299999999997</v>
      </c>
      <c r="H15">
        <v>217</v>
      </c>
    </row>
    <row r="16" spans="1:8" x14ac:dyDescent="0.25">
      <c r="A16" t="s">
        <v>219</v>
      </c>
      <c r="B16">
        <v>12</v>
      </c>
      <c r="C16">
        <f t="shared" si="0"/>
        <v>6.1538000000000004</v>
      </c>
      <c r="D16">
        <v>108</v>
      </c>
      <c r="E16">
        <f t="shared" si="1"/>
        <v>55.384599999999999</v>
      </c>
      <c r="F16">
        <v>75</v>
      </c>
      <c r="G16">
        <f t="shared" si="2"/>
        <v>38.461500000000001</v>
      </c>
      <c r="H16">
        <v>195</v>
      </c>
    </row>
    <row r="17" spans="1:8" x14ac:dyDescent="0.25">
      <c r="A17" t="s">
        <v>41</v>
      </c>
      <c r="B17">
        <v>17</v>
      </c>
      <c r="C17">
        <f t="shared" si="0"/>
        <v>8.7179000000000002</v>
      </c>
      <c r="D17">
        <v>66</v>
      </c>
      <c r="E17">
        <f t="shared" si="1"/>
        <v>33.846200000000003</v>
      </c>
      <c r="F17">
        <v>112</v>
      </c>
      <c r="G17">
        <f t="shared" si="2"/>
        <v>57.435899999999997</v>
      </c>
      <c r="H17">
        <v>195</v>
      </c>
    </row>
    <row r="18" spans="1:8" x14ac:dyDescent="0.25">
      <c r="A18" t="s">
        <v>241</v>
      </c>
      <c r="B18">
        <v>19</v>
      </c>
      <c r="C18">
        <f t="shared" si="0"/>
        <v>10.3825</v>
      </c>
      <c r="D18">
        <v>77</v>
      </c>
      <c r="E18">
        <f t="shared" si="1"/>
        <v>42.076500000000003</v>
      </c>
      <c r="F18">
        <v>87</v>
      </c>
      <c r="G18">
        <f t="shared" si="2"/>
        <v>47.540999999999997</v>
      </c>
      <c r="H18">
        <v>183</v>
      </c>
    </row>
    <row r="19" spans="1:8" x14ac:dyDescent="0.25">
      <c r="A19" t="s">
        <v>255</v>
      </c>
      <c r="B19">
        <v>10</v>
      </c>
      <c r="C19">
        <f t="shared" si="0"/>
        <v>5.6818</v>
      </c>
      <c r="D19">
        <v>85</v>
      </c>
      <c r="E19">
        <f t="shared" si="1"/>
        <v>48.295499999999997</v>
      </c>
      <c r="F19">
        <v>81</v>
      </c>
      <c r="G19">
        <f t="shared" si="2"/>
        <v>46.0227</v>
      </c>
      <c r="H19">
        <v>176</v>
      </c>
    </row>
    <row r="20" spans="1:8" x14ac:dyDescent="0.25">
      <c r="A20" t="s">
        <v>304</v>
      </c>
      <c r="B20">
        <v>27</v>
      </c>
      <c r="C20">
        <f t="shared" si="0"/>
        <v>16.564399999999999</v>
      </c>
      <c r="D20">
        <v>53</v>
      </c>
      <c r="E20">
        <f t="shared" si="1"/>
        <v>32.515300000000003</v>
      </c>
      <c r="F20">
        <v>83</v>
      </c>
      <c r="G20">
        <f t="shared" si="2"/>
        <v>50.920200000000001</v>
      </c>
      <c r="H20">
        <v>163</v>
      </c>
    </row>
    <row r="21" spans="1:8" x14ac:dyDescent="0.25">
      <c r="A21" t="s">
        <v>91</v>
      </c>
      <c r="B21">
        <v>13</v>
      </c>
      <c r="C21">
        <f t="shared" si="0"/>
        <v>8.9040999999999997</v>
      </c>
      <c r="D21">
        <v>79</v>
      </c>
      <c r="E21">
        <f t="shared" si="1"/>
        <v>54.1096</v>
      </c>
      <c r="F21">
        <v>54</v>
      </c>
      <c r="G21">
        <f t="shared" si="2"/>
        <v>36.9863</v>
      </c>
      <c r="H21">
        <v>146</v>
      </c>
    </row>
    <row r="23" spans="1:8" x14ac:dyDescent="0.25">
      <c r="A23" t="s">
        <v>341</v>
      </c>
      <c r="B23">
        <v>3655</v>
      </c>
      <c r="C23">
        <f>IF(H23&gt;0,ROUND((B23/H23) * 100, 4), "")</f>
        <v>19.145099999999999</v>
      </c>
      <c r="D23">
        <v>10652</v>
      </c>
      <c r="E23">
        <f>IF(H23&gt;0,ROUND((D23/H23) * 100, 4), "")</f>
        <v>55.795900000000003</v>
      </c>
      <c r="F23">
        <v>4784</v>
      </c>
      <c r="G23">
        <f>IF(H23&gt;0,ROUND((F23/H23) * 100, 4), "")</f>
        <v>25.058900000000001</v>
      </c>
      <c r="H23">
        <v>19091</v>
      </c>
    </row>
    <row r="24" spans="1:8" x14ac:dyDescent="0.25">
      <c r="A24" t="s">
        <v>342</v>
      </c>
      <c r="B24">
        <v>499</v>
      </c>
      <c r="C24">
        <f>IF(H24&gt;0,ROUND((B24/H24) * 100, 4), "")</f>
        <v>14.3308</v>
      </c>
      <c r="D24">
        <v>1682</v>
      </c>
      <c r="E24">
        <f>IF(H24&gt;0,ROUND((D24/H24) * 100, 4), "")</f>
        <v>48.305599999999998</v>
      </c>
      <c r="F24">
        <v>1301</v>
      </c>
      <c r="G24">
        <f>IF(H24&gt;0,ROUND((F24/H24) * 100, 4), "")</f>
        <v>37.363599999999998</v>
      </c>
      <c r="H24">
        <v>3482</v>
      </c>
    </row>
    <row r="25" spans="1:8" x14ac:dyDescent="0.25">
      <c r="A25" t="s">
        <v>324</v>
      </c>
      <c r="B25">
        <v>4154</v>
      </c>
      <c r="C25">
        <f>IF(H25&gt;0,ROUND((B25/H25) * 100, 4), "")</f>
        <v>18.4025</v>
      </c>
      <c r="D25">
        <v>12334</v>
      </c>
      <c r="E25">
        <f>IF(H25&gt;0,ROUND((D25/H25) * 100, 4), "")</f>
        <v>54.640500000000003</v>
      </c>
      <c r="F25">
        <v>6085</v>
      </c>
      <c r="G25">
        <f>IF(H25&gt;0,ROUND((F25/H25) * 100, 4), "")</f>
        <v>26.957000000000001</v>
      </c>
      <c r="H25">
        <v>22573</v>
      </c>
    </row>
  </sheetData>
  <mergeCells count="8">
    <mergeCell ref="F1"/>
    <mergeCell ref="G1"/>
    <mergeCell ref="H1"/>
    <mergeCell ref="A1"/>
    <mergeCell ref="B1"/>
    <mergeCell ref="C1"/>
    <mergeCell ref="D1"/>
    <mergeCell ref="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Request numbers</vt:lpstr>
      <vt:lpstr>Action on requests</vt:lpstr>
      <vt:lpstr>Response times</vt:lpstr>
      <vt:lpstr>Requests top 20</vt:lpstr>
      <vt:lpstr>Determined top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CARROLL,Andrew</dc:creator>
  <cp:lastModifiedBy>CARROLL,Andrew</cp:lastModifiedBy>
  <dcterms:created xsi:type="dcterms:W3CDTF">2026-05-18T04:10:41Z</dcterms:created>
  <dcterms:modified xsi:type="dcterms:W3CDTF">2026-05-21T04:17:12Z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2026-05-18T04:09:41Z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ea6aacfe-7029-4b46-92d2-554b3d4d2a8e</vt:lpwstr>
  </property>
  <property fmtid="{D5CDD505-2E9C-101B-9397-08002B2CF9AE}" pid="8" name="MSIP_Label_79d889eb-932f-4752-8739-64d25806ef64_ContentBits">
    <vt:lpwstr>0</vt:lpwstr>
  </property>
  <property fmtid="{D5CDD505-2E9C-101B-9397-08002B2CF9AE}" pid="9" name="MSIP_Label_79d889eb-932f-4752-8739-64d25806ef64_Tag">
    <vt:lpwstr>10, 0, 1, 1</vt:lpwstr>
  </property>
</Properties>
</file>